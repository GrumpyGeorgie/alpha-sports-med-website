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map" sheetId="1" state="visible" r:id="rId3"/>
    <sheet name="Area Pages" sheetId="2" state="visible" r:id="rId4"/>
    <sheet name="Decisions" sheetId="3" state="visible" r:id="rId5"/>
    <sheet name="Legend" sheetId="4" state="visible" r:id="rId6"/>
  </sheets>
  <definedNames>
    <definedName function="false" hidden="true" localSheetId="1" name="_xlnm._FilterDatabase" vbProcedure="false">'Area Pages'!$A$1:$E$1</definedName>
    <definedName function="false" hidden="true" localSheetId="0" name="_xlnm._FilterDatabase" vbProcedure="false">Sitemap!$A$1:$G$1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<sst xmlns="http://schemas.openxmlformats.org/spreadsheetml/2006/main" count="793" uniqueCount="413">
  <si>
    <t xml:space="preserve">Level</t>
  </si>
  <si>
    <t xml:space="preserve">Page</t>
  </si>
  <si>
    <t xml:space="preserve">URL</t>
  </si>
  <si>
    <t xml:space="preserve">Type</t>
  </si>
  <si>
    <t xml:space="preserve">Primary Keyword</t>
  </si>
  <si>
    <t xml:space="preserve">Vol/mo</t>
  </si>
  <si>
    <t xml:space="preserve">Status</t>
  </si>
  <si>
    <t xml:space="preserve">CORE  (8 pages)</t>
  </si>
  <si>
    <t xml:space="preserve">L1</t>
  </si>
  <si>
    <t xml:space="preserve">Home</t>
  </si>
  <si>
    <t xml:space="preserve">/</t>
  </si>
  <si>
    <t xml:space="preserve">Core</t>
  </si>
  <si>
    <t xml:space="preserve">alpha sports medicine (brand)</t>
  </si>
  <si>
    <t xml:space="preserve">—</t>
  </si>
  <si>
    <t xml:space="preserve">Planned</t>
  </si>
  <si>
    <t xml:space="preserve">About</t>
  </si>
  <si>
    <t xml:space="preserve">/about/</t>
  </si>
  <si>
    <t xml:space="preserve">about alpha sports medicine</t>
  </si>
  <si>
    <t xml:space="preserve">L2</t>
  </si>
  <si>
    <t xml:space="preserve">Meet the Team (index)</t>
  </si>
  <si>
    <t xml:space="preserve">/about/team/</t>
  </si>
  <si>
    <t xml:space="preserve">osteopaths &amp; physios melbourne west</t>
  </si>
  <si>
    <t xml:space="preserve">Index → Staff CPT</t>
  </si>
  <si>
    <t xml:space="preserve">Qualifications &amp; Training</t>
  </si>
  <si>
    <t xml:space="preserve">/about/qualifications/</t>
  </si>
  <si>
    <t xml:space="preserve">(E-E-A-T trust page)</t>
  </si>
  <si>
    <t xml:space="preserve">What We Support</t>
  </si>
  <si>
    <t xml:space="preserve">/about/community/</t>
  </si>
  <si>
    <t xml:space="preserve">(community)</t>
  </si>
  <si>
    <t xml:space="preserve">Contact</t>
  </si>
  <si>
    <t xml:space="preserve">/contact/</t>
  </si>
  <si>
    <t xml:space="preserve">contact alpha sports medicine</t>
  </si>
  <si>
    <t xml:space="preserve">Blog</t>
  </si>
  <si>
    <t xml:space="preserve">/blog/</t>
  </si>
  <si>
    <t xml:space="preserve">76 live posts to migrate</t>
  </si>
  <si>
    <t xml:space="preserve">Privacy Policy</t>
  </si>
  <si>
    <t xml:space="preserve">/privacy-policy/</t>
  </si>
  <si>
    <t xml:space="preserve">Utility</t>
  </si>
  <si>
    <t xml:space="preserve">SERVICES  (11 pages)</t>
  </si>
  <si>
    <t xml:space="preserve">Services hub</t>
  </si>
  <si>
    <t xml:space="preserve">/services/</t>
  </si>
  <si>
    <t xml:space="preserve">Service</t>
  </si>
  <si>
    <t xml:space="preserve">allied health services melbourne</t>
  </si>
  <si>
    <t xml:space="preserve">Osteopathy</t>
  </si>
  <si>
    <t xml:space="preserve">/services/osteopathy/</t>
  </si>
  <si>
    <t xml:space="preserve">osteopath melbourne</t>
  </si>
  <si>
    <t xml:space="preserve">590</t>
  </si>
  <si>
    <t xml:space="preserve">Physiotherapy</t>
  </si>
  <si>
    <t xml:space="preserve">/services/physiotherapy/</t>
  </si>
  <si>
    <t xml:space="preserve">sports physio melbourne</t>
  </si>
  <si>
    <t xml:space="preserve">320</t>
  </si>
  <si>
    <t xml:space="preserve">Chiropractic</t>
  </si>
  <si>
    <t xml:space="preserve">/services/chiropractic/</t>
  </si>
  <si>
    <t xml:space="preserve">chiropractor melbourne</t>
  </si>
  <si>
    <t xml:space="preserve">est.</t>
  </si>
  <si>
    <t xml:space="preserve">Exercise Physiology</t>
  </si>
  <si>
    <t xml:space="preserve">/services/exercise-physiology/</t>
  </si>
  <si>
    <t xml:space="preserve">exercise physiology melbourne</t>
  </si>
  <si>
    <t xml:space="preserve">390</t>
  </si>
  <si>
    <t xml:space="preserve">Clinical Pilates</t>
  </si>
  <si>
    <t xml:space="preserve">/services/clinical-pilates/</t>
  </si>
  <si>
    <t xml:space="preserve">clinical pilates melbourne</t>
  </si>
  <si>
    <t xml:space="preserve">90</t>
  </si>
  <si>
    <t xml:space="preserve">Strength &amp; Conditioning</t>
  </si>
  <si>
    <t xml:space="preserve">/services/strength-conditioning/</t>
  </si>
  <si>
    <t xml:space="preserve">strength and conditioning coach melbourne</t>
  </si>
  <si>
    <t xml:space="preserve">30</t>
  </si>
  <si>
    <t xml:space="preserve">Myotherapy</t>
  </si>
  <si>
    <t xml:space="preserve">/services/myotherapy/</t>
  </si>
  <si>
    <t xml:space="preserve">myotherapy melbourne</t>
  </si>
  <si>
    <t xml:space="preserve">480</t>
  </si>
  <si>
    <t xml:space="preserve">NEW — from live audit</t>
  </si>
  <si>
    <t xml:space="preserve">Dietetics</t>
  </si>
  <si>
    <t xml:space="preserve">/services/dietetics/</t>
  </si>
  <si>
    <t xml:space="preserve">dietitian melbourne west</t>
  </si>
  <si>
    <t xml:space="preserve">NEW — confirmed (A. Clay)</t>
  </si>
  <si>
    <t xml:space="preserve">Paediatric Osteopathy</t>
  </si>
  <si>
    <t xml:space="preserve">/services/paediatric-osteopathy/</t>
  </si>
  <si>
    <t xml:space="preserve">paediatric osteopath melbourne</t>
  </si>
  <si>
    <t xml:space="preserve">Telehealth / Online Consults</t>
  </si>
  <si>
    <t xml:space="preserve">/services/online-consults/</t>
  </si>
  <si>
    <t xml:space="preserve">online physio consultation</t>
  </si>
  <si>
    <t xml:space="preserve">LOCATIONS  (4 clinic + 6 service x location + 26 area pages — see 'Area Pages' tab)</t>
  </si>
  <si>
    <t xml:space="preserve">Locations hub</t>
  </si>
  <si>
    <t xml:space="preserve">/locations/</t>
  </si>
  <si>
    <t xml:space="preserve">Location</t>
  </si>
  <si>
    <t xml:space="preserve">alpha sports medicine locations</t>
  </si>
  <si>
    <t xml:space="preserve">Ascot Vale</t>
  </si>
  <si>
    <t xml:space="preserve">/locations/ascot-vale/</t>
  </si>
  <si>
    <t xml:space="preserve">Clinic</t>
  </si>
  <si>
    <t xml:space="preserve">osteopath ascot vale</t>
  </si>
  <si>
    <t xml:space="preserve">Newport</t>
  </si>
  <si>
    <t xml:space="preserve">/locations/newport/</t>
  </si>
  <si>
    <t xml:space="preserve">physio newport</t>
  </si>
  <si>
    <t xml:space="preserve">Bacchus Marsh</t>
  </si>
  <si>
    <t xml:space="preserve">/locations/bacchus-marsh/</t>
  </si>
  <si>
    <t xml:space="preserve">chiropractor bacchus marsh</t>
  </si>
  <si>
    <t xml:space="preserve">L3</t>
  </si>
  <si>
    <t xml:space="preserve">Physiotherapy — Bacchus Marsh</t>
  </si>
  <si>
    <t xml:space="preserve">/locations/bacchus-marsh/physiotherapy/</t>
  </si>
  <si>
    <t xml:space="preserve">Service x Loc</t>
  </si>
  <si>
    <t xml:space="preserve">physio bacchus marsh</t>
  </si>
  <si>
    <t xml:space="preserve">260</t>
  </si>
  <si>
    <t xml:space="preserve">NEW — approved 21 Jul</t>
  </si>
  <si>
    <t xml:space="preserve">Physiotherapy — Ascot Vale</t>
  </si>
  <si>
    <t xml:space="preserve">/locations/ascot-vale/physiotherapy/</t>
  </si>
  <si>
    <t xml:space="preserve">physio ascot vale</t>
  </si>
  <si>
    <t xml:space="preserve">170</t>
  </si>
  <si>
    <t xml:space="preserve">Osteopathy — Bacchus Marsh</t>
  </si>
  <si>
    <t xml:space="preserve">/locations/bacchus-marsh/osteopathy/</t>
  </si>
  <si>
    <t xml:space="preserve">osteopath bacchus marsh</t>
  </si>
  <si>
    <t xml:space="preserve">110</t>
  </si>
  <si>
    <t xml:space="preserve">Chiropractic — Ascot Vale</t>
  </si>
  <si>
    <t xml:space="preserve">/locations/ascot-vale/chiropractic/</t>
  </si>
  <si>
    <t xml:space="preserve">chiropractor ascot vale</t>
  </si>
  <si>
    <t xml:space="preserve">Osteopathy — Newport</t>
  </si>
  <si>
    <t xml:space="preserve">/locations/newport/osteopathy/</t>
  </si>
  <si>
    <t xml:space="preserve">osteopath newport</t>
  </si>
  <si>
    <t xml:space="preserve">Chiropractic — Newport</t>
  </si>
  <si>
    <t xml:space="preserve">/locations/newport/chiropractic/</t>
  </si>
  <si>
    <t xml:space="preserve">chiropractor newport</t>
  </si>
  <si>
    <t xml:space="preserve">26 x programmatic area pages</t>
  </si>
  <si>
    <t xml:space="preserve">/locations/[suburb]/</t>
  </si>
  <si>
    <t xml:space="preserve">Area page</t>
  </si>
  <si>
    <t xml:space="preserve">[suburb] osteopath / physio</t>
  </si>
  <si>
    <t xml:space="preserve">Migrate as-is</t>
  </si>
  <si>
    <t xml:space="preserve">CONDITIONS  (25 pages)</t>
  </si>
  <si>
    <t xml:space="preserve">Conditions hub</t>
  </si>
  <si>
    <t xml:space="preserve">/conditions/</t>
  </si>
  <si>
    <t xml:space="preserve">Condition</t>
  </si>
  <si>
    <t xml:space="preserve">conditions we treat</t>
  </si>
  <si>
    <t xml:space="preserve">Running Injuries</t>
  </si>
  <si>
    <t xml:space="preserve">/conditions/running-injuries/</t>
  </si>
  <si>
    <t xml:space="preserve">running physio melbourne</t>
  </si>
  <si>
    <t xml:space="preserve">140</t>
  </si>
  <si>
    <t xml:space="preserve">Sports Injuries (hub)</t>
  </si>
  <si>
    <t xml:space="preserve">/conditions/sports-injuries/</t>
  </si>
  <si>
    <t xml:space="preserve">sports injury clinic</t>
  </si>
  <si>
    <t xml:space="preserve">ACL Injury</t>
  </si>
  <si>
    <t xml:space="preserve">/conditions/sports-injuries/acl-injury/</t>
  </si>
  <si>
    <t xml:space="preserve">acl injury treatment</t>
  </si>
  <si>
    <t xml:space="preserve">1,300</t>
  </si>
  <si>
    <t xml:space="preserve">Education hub collision</t>
  </si>
  <si>
    <t xml:space="preserve">Concussion</t>
  </si>
  <si>
    <t xml:space="preserve">/conditions/sports-injuries/concussion/</t>
  </si>
  <si>
    <t xml:space="preserve">concussion treatment</t>
  </si>
  <si>
    <t xml:space="preserve">3,600</t>
  </si>
  <si>
    <t xml:space="preserve">Ankle Sprain</t>
  </si>
  <si>
    <t xml:space="preserve">/conditions/sports-injuries/ankle-sprain/</t>
  </si>
  <si>
    <t xml:space="preserve">ankle sprain treatment</t>
  </si>
  <si>
    <t xml:space="preserve">4,400</t>
  </si>
  <si>
    <t xml:space="preserve">Tennis Elbow</t>
  </si>
  <si>
    <t xml:space="preserve">/conditions/sports-injuries/tennis-elbow/</t>
  </si>
  <si>
    <t xml:space="preserve">tennis elbow treatment</t>
  </si>
  <si>
    <t xml:space="preserve">8,100</t>
  </si>
  <si>
    <t xml:space="preserve">3-way collision</t>
  </si>
  <si>
    <t xml:space="preserve">Tendonitis &amp; Tendinopathy</t>
  </si>
  <si>
    <t xml:space="preserve">/conditions/sports-injuries/tendonitis-tendinopathy/</t>
  </si>
  <si>
    <t xml:space="preserve">tendonitis treatment</t>
  </si>
  <si>
    <t xml:space="preserve">1,000</t>
  </si>
  <si>
    <t xml:space="preserve">Rib Sprain</t>
  </si>
  <si>
    <t xml:space="preserve">/conditions/sports-injuries/rib-sprain/</t>
  </si>
  <si>
    <t xml:space="preserve">rib sprain</t>
  </si>
  <si>
    <t xml:space="preserve">Back Pain</t>
  </si>
  <si>
    <t xml:space="preserve">/conditions/back-pain/</t>
  </si>
  <si>
    <t xml:space="preserve">back pain treatment</t>
  </si>
  <si>
    <t xml:space="preserve">Neck Pain</t>
  </si>
  <si>
    <t xml:space="preserve">/conditions/neck-pain/</t>
  </si>
  <si>
    <t xml:space="preserve">neck pain treatment</t>
  </si>
  <si>
    <t xml:space="preserve">Headaches &amp; Migraines</t>
  </si>
  <si>
    <t xml:space="preserve">/conditions/headaches/</t>
  </si>
  <si>
    <t xml:space="preserve">headache treatment</t>
  </si>
  <si>
    <t xml:space="preserve">720</t>
  </si>
  <si>
    <t xml:space="preserve">TMJ &amp; Jaw Pain</t>
  </si>
  <si>
    <t xml:space="preserve">/conditions/tmj-jaw-pain/</t>
  </si>
  <si>
    <t xml:space="preserve">tmj treatment melbourne</t>
  </si>
  <si>
    <t xml:space="preserve">Shoulder Pain</t>
  </si>
  <si>
    <t xml:space="preserve">/conditions/shoulder-pain/</t>
  </si>
  <si>
    <t xml:space="preserve">shoulder pain treatment</t>
  </si>
  <si>
    <t xml:space="preserve">Knee Pain</t>
  </si>
  <si>
    <t xml:space="preserve">/conditions/knee-pain/</t>
  </si>
  <si>
    <t xml:space="preserve">knee pain treatment</t>
  </si>
  <si>
    <t xml:space="preserve">2,400</t>
  </si>
  <si>
    <t xml:space="preserve">NEW — top priority</t>
  </si>
  <si>
    <t xml:space="preserve">Hip Pain</t>
  </si>
  <si>
    <t xml:space="preserve">/conditions/hip-pain/</t>
  </si>
  <si>
    <t xml:space="preserve">hip pain treatment</t>
  </si>
  <si>
    <t xml:space="preserve">80</t>
  </si>
  <si>
    <t xml:space="preserve">Hand &amp; Wrist Pain</t>
  </si>
  <si>
    <t xml:space="preserve">/conditions/hand-wrist-pain/</t>
  </si>
  <si>
    <t xml:space="preserve">hand pain</t>
  </si>
  <si>
    <t xml:space="preserve">Foot Pain &amp; Plantar Fasciitis</t>
  </si>
  <si>
    <t xml:space="preserve">/conditions/foot-pain-plantar-fasciitis/</t>
  </si>
  <si>
    <t xml:space="preserve">plantar fasciitis treatment</t>
  </si>
  <si>
    <t xml:space="preserve">14,800</t>
  </si>
  <si>
    <t xml:space="preserve">Pregnancy-Related Pain (hub)</t>
  </si>
  <si>
    <t xml:space="preserve">/conditions/pregnancy-pain/</t>
  </si>
  <si>
    <t xml:space="preserve">pregnancy physio</t>
  </si>
  <si>
    <t xml:space="preserve">1,600</t>
  </si>
  <si>
    <t xml:space="preserve">First Trimester</t>
  </si>
  <si>
    <t xml:space="preserve">/conditions/pregnancy-pain/first-trimester/</t>
  </si>
  <si>
    <t xml:space="preserve">(long-tail)</t>
  </si>
  <si>
    <t xml:space="preserve">Second Trimester</t>
  </si>
  <si>
    <t xml:space="preserve">/conditions/pregnancy-pain/second-trimester/</t>
  </si>
  <si>
    <t xml:space="preserve">Third Trimester</t>
  </si>
  <si>
    <t xml:space="preserve">/conditions/pregnancy-pain/third-trimester/</t>
  </si>
  <si>
    <t xml:space="preserve">Postpartum Pain Relief</t>
  </si>
  <si>
    <t xml:space="preserve">/conditions/postpartum-pain/</t>
  </si>
  <si>
    <t xml:space="preserve">postpartum back pain</t>
  </si>
  <si>
    <t xml:space="preserve">Hypermobility &amp; EDS</t>
  </si>
  <si>
    <t xml:space="preserve">/conditions/hypermobility/</t>
  </si>
  <si>
    <t xml:space="preserve">hypermobility physiotherapy</t>
  </si>
  <si>
    <t xml:space="preserve">Invisible Illnesses</t>
  </si>
  <si>
    <t xml:space="preserve">/conditions/invisible-illnesses/</t>
  </si>
  <si>
    <t xml:space="preserve">invisible illness</t>
  </si>
  <si>
    <t xml:space="preserve">STAFF  (15 pages — CPT retained, decision 21 Jul)</t>
  </si>
  <si>
    <t xml:space="preserve">Staff / practitioner profiles</t>
  </si>
  <si>
    <t xml:space="preserve">/staff/</t>
  </si>
  <si>
    <t xml:space="preserve">Staff CPT</t>
  </si>
  <si>
    <t xml:space="preserve">(index via /about/team/)</t>
  </si>
  <si>
    <t xml:space="preserve">Dr Ashton Wilson</t>
  </si>
  <si>
    <t xml:space="preserve">/staff/dr-ashton-wilson/</t>
  </si>
  <si>
    <t xml:space="preserve">(practitioner name)</t>
  </si>
  <si>
    <t xml:space="preserve">Dr Will Krithararis</t>
  </si>
  <si>
    <t xml:space="preserve">/staff/dr-will-krithararis/</t>
  </si>
  <si>
    <t xml:space="preserve">Dr Nick Naimo</t>
  </si>
  <si>
    <t xml:space="preserve">/staff/dr-nick-naimo/</t>
  </si>
  <si>
    <t xml:space="preserve">Dr Patricia Macandog</t>
  </si>
  <si>
    <t xml:space="preserve">/staff/dr-patricia-macandog/</t>
  </si>
  <si>
    <t xml:space="preserve">Dr Lara Trevorrow</t>
  </si>
  <si>
    <t xml:space="preserve">/staff/dr-lara-trevorrow/</t>
  </si>
  <si>
    <t xml:space="preserve">Dr Matt O'Neill</t>
  </si>
  <si>
    <t xml:space="preserve">/staff/dr-matt-oneill/</t>
  </si>
  <si>
    <t xml:space="preserve">Dr Disha Ganglani</t>
  </si>
  <si>
    <t xml:space="preserve">/staff/dr-disha-ganglani/</t>
  </si>
  <si>
    <t xml:space="preserve">Dr Caitlin O'Farrell</t>
  </si>
  <si>
    <t xml:space="preserve">/staff/dr-caitlin-ofarrell/</t>
  </si>
  <si>
    <t xml:space="preserve">Dr Christina Kripintiris</t>
  </si>
  <si>
    <t xml:space="preserve">/staff/dr-christina-kripintiris/</t>
  </si>
  <si>
    <t xml:space="preserve">Wei Song</t>
  </si>
  <si>
    <t xml:space="preserve">/staff/wei-song/</t>
  </si>
  <si>
    <t xml:space="preserve">Anna Lawther</t>
  </si>
  <si>
    <t xml:space="preserve">/staff/anna-lawther/</t>
  </si>
  <si>
    <t xml:space="preserve">Jordan Tripodi</t>
  </si>
  <si>
    <t xml:space="preserve">/staff/jordan-tripodi/</t>
  </si>
  <si>
    <t xml:space="preserve">Felicity Lorimer</t>
  </si>
  <si>
    <t xml:space="preserve">/staff/felicity-lorimer/</t>
  </si>
  <si>
    <t xml:space="preserve">Oscar Taylor</t>
  </si>
  <si>
    <t xml:space="preserve">/staff/oscar-taylor/</t>
  </si>
  <si>
    <t xml:space="preserve">Alexandra Clay (APD)</t>
  </si>
  <si>
    <t xml:space="preserve">/staff/alexandra-clay/</t>
  </si>
  <si>
    <t xml:space="preserve">SPECIALTY &amp; COMMUNITY  (3 pages)</t>
  </si>
  <si>
    <t xml:space="preserve">Running Assessment</t>
  </si>
  <si>
    <t xml:space="preserve">/running-assessment/</t>
  </si>
  <si>
    <t xml:space="preserve">Specialty</t>
  </si>
  <si>
    <t xml:space="preserve">running gait analysis</t>
  </si>
  <si>
    <t xml:space="preserve">RunWest Run Club</t>
  </si>
  <si>
    <t xml:space="preserve">/runwest-run-club/</t>
  </si>
  <si>
    <t xml:space="preserve">(brand/community)</t>
  </si>
  <si>
    <t xml:space="preserve">Discover Newport</t>
  </si>
  <si>
    <t xml:space="preserve">/discover-newport/</t>
  </si>
  <si>
    <t xml:space="preserve">(proximity hub)</t>
  </si>
  <si>
    <t xml:space="preserve">OUTSTANDING — see 'Decisions' tab</t>
  </si>
  <si>
    <t xml:space="preserve">Education Hub CPT — 12 pages</t>
  </si>
  <si>
    <t xml:space="preserve">/education_hub/[topic]/</t>
  </si>
  <si>
    <t xml:space="preserve">Legacy CPT</t>
  </si>
  <si>
    <t xml:space="preserve">(retired)</t>
  </si>
  <si>
    <t xml:space="preserve">RESOLVED — 301 all</t>
  </si>
  <si>
    <t xml:space="preserve">Blog posts — 76 live</t>
  </si>
  <si>
    <t xml:space="preserve">/[post-slug]/</t>
  </si>
  <si>
    <t xml:space="preserve">various</t>
  </si>
  <si>
    <t xml:space="preserve">Migration plan needed</t>
  </si>
  <si>
    <t xml:space="preserve">Treatment-intent blog posts — 11</t>
  </si>
  <si>
    <t xml:space="preserve">(collide w/ conditions)</t>
  </si>
  <si>
    <t xml:space="preserve">SCOPE TO CONFIRM</t>
  </si>
  <si>
    <t xml:space="preserve">Category archives — 30</t>
  </si>
  <si>
    <t xml:space="preserve">/category/[slug]/</t>
  </si>
  <si>
    <t xml:space="preserve">Taxonomy</t>
  </si>
  <si>
    <t xml:space="preserve">(collides w/ conditions)</t>
  </si>
  <si>
    <t xml:space="preserve">Indexation decision</t>
  </si>
  <si>
    <t xml:space="preserve">locations.kml</t>
  </si>
  <si>
    <t xml:space="preserve">/locations.kml</t>
  </si>
  <si>
    <t xml:space="preserve">Local asset</t>
  </si>
  <si>
    <t xml:space="preserve">(GBP/local pack)</t>
  </si>
  <si>
    <t xml:space="preserve">Carry across</t>
  </si>
  <si>
    <t xml:space="preserve">Suburb</t>
  </si>
  <si>
    <t xml:space="preserve">Serving Clinic</t>
  </si>
  <si>
    <t xml:space="preserve">Maribyrnong</t>
  </si>
  <si>
    <t xml:space="preserve">/locations/maribyrnong/</t>
  </si>
  <si>
    <t xml:space="preserve">Area page (programmatic)</t>
  </si>
  <si>
    <t xml:space="preserve">Migrate as-is — no redirect</t>
  </si>
  <si>
    <t xml:space="preserve">Avondale Heights</t>
  </si>
  <si>
    <t xml:space="preserve">/locations/avondale-heights/</t>
  </si>
  <si>
    <t xml:space="preserve">Maidstone</t>
  </si>
  <si>
    <t xml:space="preserve">/locations/maidstone/</t>
  </si>
  <si>
    <t xml:space="preserve">Footscray</t>
  </si>
  <si>
    <t xml:space="preserve">/locations/footscray/</t>
  </si>
  <si>
    <t xml:space="preserve">West Footscray</t>
  </si>
  <si>
    <t xml:space="preserve">/locations/west-footscray/</t>
  </si>
  <si>
    <t xml:space="preserve">Braybrook</t>
  </si>
  <si>
    <t xml:space="preserve">/locations/braybrook/</t>
  </si>
  <si>
    <t xml:space="preserve">Sunshine</t>
  </si>
  <si>
    <t xml:space="preserve">/locations/sunshine/</t>
  </si>
  <si>
    <t xml:space="preserve">Deer Park</t>
  </si>
  <si>
    <t xml:space="preserve">/locations/deer-park/</t>
  </si>
  <si>
    <t xml:space="preserve">Seaholme</t>
  </si>
  <si>
    <t xml:space="preserve">/locations/seaholme/</t>
  </si>
  <si>
    <t xml:space="preserve">Laverton North</t>
  </si>
  <si>
    <t xml:space="preserve">/locations/laverton-north/</t>
  </si>
  <si>
    <t xml:space="preserve">Altona Meadows</t>
  </si>
  <si>
    <t xml:space="preserve">/locations/altona-meadows/</t>
  </si>
  <si>
    <t xml:space="preserve">Altona</t>
  </si>
  <si>
    <t xml:space="preserve">/locations/altona/</t>
  </si>
  <si>
    <t xml:space="preserve">Altona North</t>
  </si>
  <si>
    <t xml:space="preserve">/locations/altona-north/</t>
  </si>
  <si>
    <t xml:space="preserve">Williamstown</t>
  </si>
  <si>
    <t xml:space="preserve">/locations/williamstown/</t>
  </si>
  <si>
    <t xml:space="preserve">Williamstown North</t>
  </si>
  <si>
    <t xml:space="preserve">/locations/williamstown-north/</t>
  </si>
  <si>
    <t xml:space="preserve">South Kingsville</t>
  </si>
  <si>
    <t xml:space="preserve">/locations/south-kingsville/</t>
  </si>
  <si>
    <t xml:space="preserve">Spotswood</t>
  </si>
  <si>
    <t xml:space="preserve">/locations/spotswood/</t>
  </si>
  <si>
    <t xml:space="preserve">Yarraville</t>
  </si>
  <si>
    <t xml:space="preserve">/locations/yarraville/</t>
  </si>
  <si>
    <t xml:space="preserve">Point Cook</t>
  </si>
  <si>
    <t xml:space="preserve">/locations/point-cook/</t>
  </si>
  <si>
    <t xml:space="preserve">Port Melbourne</t>
  </si>
  <si>
    <t xml:space="preserve">/locations/port-melbourne/</t>
  </si>
  <si>
    <t xml:space="preserve">Darley</t>
  </si>
  <si>
    <t xml:space="preserve">/locations/darley/</t>
  </si>
  <si>
    <t xml:space="preserve">Maddingley</t>
  </si>
  <si>
    <t xml:space="preserve">/locations/maddingley/</t>
  </si>
  <si>
    <t xml:space="preserve">Merrimu</t>
  </si>
  <si>
    <t xml:space="preserve">/locations/merrimu/</t>
  </si>
  <si>
    <t xml:space="preserve">Hopetoun Park</t>
  </si>
  <si>
    <t xml:space="preserve">/locations/hopetoun-park/</t>
  </si>
  <si>
    <t xml:space="preserve">Parwan</t>
  </si>
  <si>
    <t xml:space="preserve">/locations/parwan/</t>
  </si>
  <si>
    <t xml:space="preserve">Pentland Hills</t>
  </si>
  <si>
    <t xml:space="preserve">/locations/pentland-hills/</t>
  </si>
  <si>
    <t xml:space="preserve">Total area pages</t>
  </si>
  <si>
    <t xml:space="preserve">#</t>
  </si>
  <si>
    <t xml:space="preserve">Item</t>
  </si>
  <si>
    <t xml:space="preserve">Live URLs</t>
  </si>
  <si>
    <t xml:space="preserve">Blocks sign-off?</t>
  </si>
  <si>
    <t xml:space="preserve">Issue</t>
  </si>
  <si>
    <t xml:space="preserve">Recommendation</t>
  </si>
  <si>
    <t xml:space="preserve">15</t>
  </si>
  <si>
    <t xml:space="preserve">RESOLVED</t>
  </si>
  <si>
    <t xml:space="preserve">Architecture has one /about/team/ page; live site has 15 indexable practitioner profiles (strong E-E-A-T).</t>
  </si>
  <si>
    <t xml:space="preserve">DECIDED 21 Jul: keep as dedicated CPT. /about/team/ becomes an index. Slugs migrate unchanged.</t>
  </si>
  <si>
    <t xml:space="preserve">Education Hub CPT</t>
  </si>
  <si>
    <t xml:space="preserve">12</t>
  </si>
  <si>
    <t xml:space="preserve">4 articles collide head-on with planned Sports Injuries children (ACL, ankle, rib, tennis elbow). Tennis elbow is a 3-way collision.</t>
  </si>
  <si>
    <t xml:space="preserve">DECIDED 21 Jul: retire the hub, 301 all 12 URLs. Salvage copy into destination condition pages in Phase 3.</t>
  </si>
  <si>
    <t xml:space="preserve">Blog migration</t>
  </si>
  <si>
    <t xml:space="preserve">76</t>
  </si>
  <si>
    <t xml:space="preserve">No</t>
  </si>
  <si>
    <t xml:space="preserve">Architecture scoped '5 posts at launch' — that was the new content plan, not migration scope.</t>
  </si>
  <si>
    <t xml:space="preserve">Per-post disposition list. Consolidate the 5-post back-pain cluster and the 5-post osteo-vs-chiro cluster.</t>
  </si>
  <si>
    <t xml:space="preserve">Category archives</t>
  </si>
  <si>
    <t xml:space="preserve">9 archives duplicate planned condition pages by name (back-pain, neck-pain, headache, etc.).</t>
  </si>
  <si>
    <t xml:space="preserve">Noindex the archives, or keep a curated few. Retire legacy ones (hiking, home-isolation, success).</t>
  </si>
  <si>
    <t xml:space="preserve">1</t>
  </si>
  <si>
    <t xml:space="preserve">Geo file feeding local pack signals. Easy to lose silently in an Astro rebuild.</t>
  </si>
  <si>
    <t xml:space="preserve">Carry across or regenerate on the new stack.</t>
  </si>
  <si>
    <t xml:space="preserve">Rendered crawl</t>
  </si>
  <si>
    <t xml:space="preserve">Sitemaps do not reveal orphan pages or noindex directives.</t>
  </si>
  <si>
    <t xml:space="preserve">Run before launch.</t>
  </si>
  <si>
    <t xml:space="preserve">Live site still changing</t>
  </si>
  <si>
    <t xml:space="preserve">page-sitemap.xml modified 2026-07-20, one day before audit.</t>
  </si>
  <si>
    <t xml:space="preserve">Confirm with client whether edits are ongoing — we may be building against a moving target.</t>
  </si>
  <si>
    <t xml:space="preserve">Service x location pages</t>
  </si>
  <si>
    <t xml:space="preserve">6</t>
  </si>
  <si>
    <t xml:space="preserve">Full 3x10 matrix rejected: EP and Dietetics have zero suburb volume at all 3 clinics; Myotherapy only at Newport (70).</t>
  </si>
  <si>
    <t xml:space="preserve">DECIDED 21 Jul: build 6 (BM physio 260, AV physio 170, BM osteo 110, AV chiro 90, NP osteo 90, NP chiro 90). Pilates rejected on intent mismatch.</t>
  </si>
  <si>
    <t xml:space="preserve">Treatment-intent blog posts</t>
  </si>
  <si>
    <t xml:space="preserve">11</t>
  </si>
  <si>
    <t xml:space="preserve">Recent posts (frozen shoulder, IT band, hip flexor) collide with planned condition pages but are currently performing.</t>
  </si>
  <si>
    <t xml:space="preserve">SCOPE TO CONFIRM. Redirect only after destination condition pages are live and indexed — not at launch.</t>
  </si>
  <si>
    <t xml:space="preserve">Practitioner details</t>
  </si>
  <si>
    <t xml:space="preserve">Roster known from staff sitemap, but discipline and qualifications per person are not.</t>
  </si>
  <si>
    <t xml:space="preserve">Confirm with Ashton &amp; Will. Feeds staff profiles and service x location pages.</t>
  </si>
  <si>
    <t xml:space="preserve">Navigation hierarchy</t>
  </si>
  <si>
    <t xml:space="preserve">Section band</t>
  </si>
  <si>
    <t xml:space="preserve">Top-level grouping in the sitemap</t>
  </si>
  <si>
    <t xml:space="preserve">L1  — Level 1</t>
  </si>
  <si>
    <t xml:space="preserve">Top-level nav item or section hub (e.g. Services, Conditions, Locations)</t>
  </si>
  <si>
    <t xml:space="preserve">L2  — Level 2</t>
  </si>
  <si>
    <t xml:space="preserve">Child page, one click from a hub (e.g. Osteopathy, Back Pain, Newport)</t>
  </si>
  <si>
    <t xml:space="preserve">L3  — Level 3</t>
  </si>
  <si>
    <t xml:space="preserve">Grandchild page (e.g. ACL Injury under Sports Injuries; trimester pages; area pages)</t>
  </si>
  <si>
    <t xml:space="preserve">Footer-only utility page, not in primary nav</t>
  </si>
  <si>
    <t xml:space="preserve">Decision pending</t>
  </si>
  <si>
    <t xml:space="preserve">Live content type not yet placed in the architecture — see Decisions tab</t>
  </si>
  <si>
    <t xml:space="preserve">NEW</t>
  </si>
  <si>
    <t xml:space="preserve">New page with no existing equity, or service confirmed by the live-site audit</t>
  </si>
  <si>
    <t xml:space="preserve">Area pages tab — colour by clinic</t>
  </si>
  <si>
    <t xml:space="preserve">8 area pages served by the Ascot Vale clinic</t>
  </si>
  <si>
    <t xml:space="preserve">12 area pages served by the Newport clinic</t>
  </si>
  <si>
    <t xml:space="preserve">6 area pages served by the Bacchus Marsh clinic</t>
  </si>
  <si>
    <t xml:space="preserve">Counts</t>
  </si>
  <si>
    <t xml:space="preserve">Editorial pages</t>
  </si>
  <si>
    <t xml:space="preserve">57</t>
  </si>
  <si>
    <t xml:space="preserve">Staff CPT pages</t>
  </si>
  <si>
    <t xml:space="preserve">Programmatic area pages</t>
  </si>
  <si>
    <t xml:space="preserve">Total pages in new build</t>
  </si>
  <si>
    <t xml:space="preserve">Live URLs on current site (approx.)</t>
  </si>
  <si>
    <t xml:space="preserve">218</t>
  </si>
  <si>
    <t xml:space="preserve">Live URLs not yet in architecture</t>
  </si>
  <si>
    <t xml:space="preserve">Source: seo/sitemap.md v5 + seo/live-site-audit-v4.md. Decisions of 2026-07-21 applied.</t>
  </si>
  <si>
    <t xml:space="preserve">Live URL count from all 7 Rank Math sitemaps. Staff CPT retained; education hub retired; 6 service x location pages approved.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</si>
</sst>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E6B2F"/>
      <name val="Arial"/>
      <family val="0"/>
      <charset val="1"/>
    </font>
    <font>
      <b val="true"/>
      <sz val="12"/>
      <color rgb="FF12333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2333F"/>
        <bgColor rgb="FF003300"/>
      </patternFill>
    </fill>
    <fill>
      <patternFill patternType="solid">
        <fgColor rgb="FF1F4E5F"/>
        <bgColor rgb="FF12333F"/>
      </patternFill>
    </fill>
    <fill>
      <patternFill patternType="solid">
        <fgColor rgb="FFE1EDF2"/>
        <bgColor rgb="FFE8E8E8"/>
      </patternFill>
    </fill>
    <fill>
      <patternFill patternType="solid">
        <fgColor rgb="FFE8E8E8"/>
        <bgColor rgb="FFE1EDF2"/>
      </patternFill>
    </fill>
    <fill>
      <patternFill patternType="solid">
        <fgColor rgb="FFFDE9C9"/>
        <bgColor rgb="FFE8E8E8"/>
      </patternFill>
    </fill>
    <fill>
      <patternFill patternType="solid">
        <fgColor rgb="FFF5FAFC"/>
        <bgColor rgb="FFFFFFFF"/>
      </patternFill>
    </fill>
    <fill>
      <patternFill patternType="solid">
        <fgColor rgb="FFF6C85F"/>
        <bgColor rgb="FFFFCC00"/>
      </patternFill>
    </fill>
    <fill>
      <patternFill patternType="solid">
        <fgColor rgb="FFD6E9D5"/>
        <bgColor rgb="FFDFF0DC"/>
      </patternFill>
    </fill>
    <fill>
      <patternFill patternType="solid">
        <fgColor rgb="FFD3E5EC"/>
        <bgColor rgb="FFD6E9D5"/>
      </patternFill>
    </fill>
    <fill>
      <patternFill patternType="solid">
        <fgColor rgb="FFEFE0EC"/>
        <bgColor rgb="FFE8E8E8"/>
      </patternFill>
    </fill>
    <fill>
      <patternFill patternType="solid">
        <fgColor rgb="FFDFF0DC"/>
        <bgColor rgb="FFD6E9D5"/>
      </patternFill>
    </fill>
    <fill>
      <patternFill patternType="solid">
        <fgColor rgb="FFF2F2F2"/>
        <bgColor rgb="FFF5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0"/>
      </left>
      <right style="thin">
        <color rgb="FFB7C9D0"/>
      </right>
      <top style="thin">
        <color rgb="FFB7C9D0"/>
      </top>
      <bottom style="thin">
        <color rgb="FFB7C9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4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2333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F"/>
      <rgbColor rgb="FF000080"/>
      <rgbColor rgb="FF8A5A00"/>
      <rgbColor rgb="FF800080"/>
      <rgbColor rgb="FF008080"/>
      <rgbColor rgb="FFB7C9D0"/>
      <rgbColor rgb="FF808080"/>
      <rgbColor rgb="FF9999FF"/>
      <rgbColor rgb="FF993366"/>
      <rgbColor rgb="FFFDE9C9"/>
      <rgbColor rgb="FFE1EDF2"/>
      <rgbColor rgb="FF660066"/>
      <rgbColor rgb="FFFF8080"/>
      <rgbColor rgb="FF0066CC"/>
      <rgbColor rgb="FFD3E5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9D5"/>
      <rgbColor rgb="FFDFF0DC"/>
      <rgbColor rgb="FFF2F2F2"/>
      <rgbColor rgb="FFE8E8E8"/>
      <rgbColor rgb="FFEFE0EC"/>
      <rgbColor rgb="FFF5FAFC"/>
      <rgbColor rgb="FFF6C85F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2333F"/>
      <rgbColor rgb="FF339966"/>
      <rgbColor rgb="FF003300"/>
      <rgbColor rgb="FF333300"/>
      <rgbColor rgb="FFB3261E"/>
      <rgbColor rgb="FF993366"/>
      <rgbColor rgb="FF1F4E5F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46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7" min="7" style="1" width="30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1.75" hidden="false" customHeight="true" outlineLevel="0" collapsed="false">
      <c r="A2" s="3" t="s">
        <v>7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customFormat="false" ht="15" hidden="false" customHeight="true" outlineLevel="0" collapsed="false">
      <c r="A4" s="4" t="s">
        <v>8</v>
      </c>
      <c r="B4" s="4" t="s">
        <v>15</v>
      </c>
      <c r="C4" s="4" t="s">
        <v>16</v>
      </c>
      <c r="D4" s="4" t="s">
        <v>11</v>
      </c>
      <c r="E4" s="4" t="s">
        <v>17</v>
      </c>
      <c r="F4" s="4" t="s">
        <v>13</v>
      </c>
      <c r="G4" s="4" t="s">
        <v>14</v>
      </c>
    </row>
    <row r="5" customFormat="false" ht="15" hidden="false" customHeight="true" outlineLevel="0" collapsed="false">
      <c r="A5" s="5" t="s">
        <v>18</v>
      </c>
      <c r="B5" s="6" t="s">
        <v>19</v>
      </c>
      <c r="C5" s="5" t="s">
        <v>20</v>
      </c>
      <c r="D5" s="5" t="s">
        <v>11</v>
      </c>
      <c r="E5" s="5" t="s">
        <v>21</v>
      </c>
      <c r="F5" s="5" t="s">
        <v>13</v>
      </c>
      <c r="G5" s="5" t="s">
        <v>22</v>
      </c>
    </row>
    <row r="6" customFormat="false" ht="15" hidden="false" customHeight="true" outlineLevel="0" collapsed="false">
      <c r="A6" s="5" t="s">
        <v>18</v>
      </c>
      <c r="B6" s="6" t="s">
        <v>23</v>
      </c>
      <c r="C6" s="5" t="s">
        <v>24</v>
      </c>
      <c r="D6" s="5" t="s">
        <v>11</v>
      </c>
      <c r="E6" s="5" t="s">
        <v>25</v>
      </c>
      <c r="F6" s="5" t="s">
        <v>13</v>
      </c>
      <c r="G6" s="5" t="s">
        <v>14</v>
      </c>
    </row>
    <row r="7" customFormat="false" ht="15" hidden="false" customHeight="true" outlineLevel="0" collapsed="false">
      <c r="A7" s="5" t="s">
        <v>18</v>
      </c>
      <c r="B7" s="6" t="s">
        <v>26</v>
      </c>
      <c r="C7" s="5" t="s">
        <v>27</v>
      </c>
      <c r="D7" s="5" t="s">
        <v>11</v>
      </c>
      <c r="E7" s="5" t="s">
        <v>28</v>
      </c>
      <c r="F7" s="5" t="s">
        <v>13</v>
      </c>
      <c r="G7" s="5" t="s">
        <v>14</v>
      </c>
    </row>
    <row r="8" customFormat="false" ht="15" hidden="false" customHeight="true" outlineLevel="0" collapsed="false">
      <c r="A8" s="4" t="s">
        <v>8</v>
      </c>
      <c r="B8" s="4" t="s">
        <v>29</v>
      </c>
      <c r="C8" s="4" t="s">
        <v>30</v>
      </c>
      <c r="D8" s="4" t="s">
        <v>11</v>
      </c>
      <c r="E8" s="4" t="s">
        <v>31</v>
      </c>
      <c r="F8" s="4" t="s">
        <v>13</v>
      </c>
      <c r="G8" s="4" t="s">
        <v>14</v>
      </c>
    </row>
    <row r="9" customFormat="false" ht="15" hidden="false" customHeight="true" outlineLevel="0" collapsed="false">
      <c r="A9" s="4" t="s">
        <v>8</v>
      </c>
      <c r="B9" s="4" t="s">
        <v>32</v>
      </c>
      <c r="C9" s="4" t="s">
        <v>33</v>
      </c>
      <c r="D9" s="4" t="s">
        <v>11</v>
      </c>
      <c r="E9" s="4" t="s">
        <v>13</v>
      </c>
      <c r="F9" s="4" t="s">
        <v>13</v>
      </c>
      <c r="G9" s="4" t="s">
        <v>34</v>
      </c>
    </row>
    <row r="10" customFormat="false" ht="15" hidden="false" customHeight="true" outlineLevel="0" collapsed="false">
      <c r="A10" s="7" t="s">
        <v>8</v>
      </c>
      <c r="B10" s="8" t="s">
        <v>35</v>
      </c>
      <c r="C10" s="7" t="s">
        <v>36</v>
      </c>
      <c r="D10" s="7" t="s">
        <v>37</v>
      </c>
      <c r="E10" s="7" t="s">
        <v>13</v>
      </c>
      <c r="F10" s="7" t="s">
        <v>13</v>
      </c>
      <c r="G10" s="7" t="s">
        <v>14</v>
      </c>
    </row>
    <row r="11" customFormat="false" ht="21.75" hidden="false" customHeight="true" outlineLevel="0" collapsed="false">
      <c r="A11" s="3" t="s">
        <v>38</v>
      </c>
      <c r="B11" s="3"/>
      <c r="C11" s="3"/>
      <c r="D11" s="3"/>
      <c r="E11" s="3"/>
      <c r="F11" s="3"/>
      <c r="G11" s="3"/>
    </row>
    <row r="12" customFormat="false" ht="15" hidden="false" customHeight="true" outlineLevel="0" collapsed="false">
      <c r="A12" s="4" t="s">
        <v>8</v>
      </c>
      <c r="B12" s="4" t="s">
        <v>39</v>
      </c>
      <c r="C12" s="4" t="s">
        <v>40</v>
      </c>
      <c r="D12" s="4" t="s">
        <v>41</v>
      </c>
      <c r="E12" s="4" t="s">
        <v>42</v>
      </c>
      <c r="F12" s="4" t="s">
        <v>13</v>
      </c>
      <c r="G12" s="4" t="s">
        <v>14</v>
      </c>
    </row>
    <row r="13" customFormat="false" ht="15" hidden="false" customHeight="true" outlineLevel="0" collapsed="false">
      <c r="A13" s="5" t="s">
        <v>18</v>
      </c>
      <c r="B13" s="6" t="s">
        <v>43</v>
      </c>
      <c r="C13" s="5" t="s">
        <v>44</v>
      </c>
      <c r="D13" s="5" t="s">
        <v>41</v>
      </c>
      <c r="E13" s="5" t="s">
        <v>45</v>
      </c>
      <c r="F13" s="5" t="s">
        <v>46</v>
      </c>
      <c r="G13" s="5" t="s">
        <v>14</v>
      </c>
    </row>
    <row r="14" customFormat="false" ht="15" hidden="false" customHeight="true" outlineLevel="0" collapsed="false">
      <c r="A14" s="5" t="s">
        <v>18</v>
      </c>
      <c r="B14" s="6" t="s">
        <v>47</v>
      </c>
      <c r="C14" s="5" t="s">
        <v>48</v>
      </c>
      <c r="D14" s="5" t="s">
        <v>41</v>
      </c>
      <c r="E14" s="5" t="s">
        <v>49</v>
      </c>
      <c r="F14" s="5" t="s">
        <v>50</v>
      </c>
      <c r="G14" s="5" t="s">
        <v>14</v>
      </c>
    </row>
    <row r="15" customFormat="false" ht="15" hidden="false" customHeight="true" outlineLevel="0" collapsed="false">
      <c r="A15" s="5" t="s">
        <v>18</v>
      </c>
      <c r="B15" s="6" t="s">
        <v>51</v>
      </c>
      <c r="C15" s="5" t="s">
        <v>52</v>
      </c>
      <c r="D15" s="5" t="s">
        <v>41</v>
      </c>
      <c r="E15" s="5" t="s">
        <v>53</v>
      </c>
      <c r="F15" s="5" t="s">
        <v>54</v>
      </c>
      <c r="G15" s="5" t="s">
        <v>14</v>
      </c>
    </row>
    <row r="16" customFormat="false" ht="15" hidden="false" customHeight="true" outlineLevel="0" collapsed="false">
      <c r="A16" s="5" t="s">
        <v>18</v>
      </c>
      <c r="B16" s="6" t="s">
        <v>55</v>
      </c>
      <c r="C16" s="5" t="s">
        <v>56</v>
      </c>
      <c r="D16" s="5" t="s">
        <v>41</v>
      </c>
      <c r="E16" s="5" t="s">
        <v>57</v>
      </c>
      <c r="F16" s="5" t="s">
        <v>58</v>
      </c>
      <c r="G16" s="5" t="s">
        <v>14</v>
      </c>
    </row>
    <row r="17" customFormat="false" ht="15" hidden="false" customHeight="true" outlineLevel="0" collapsed="false">
      <c r="A17" s="5" t="s">
        <v>18</v>
      </c>
      <c r="B17" s="6" t="s">
        <v>59</v>
      </c>
      <c r="C17" s="5" t="s">
        <v>60</v>
      </c>
      <c r="D17" s="5" t="s">
        <v>41</v>
      </c>
      <c r="E17" s="5" t="s">
        <v>61</v>
      </c>
      <c r="F17" s="5" t="s">
        <v>62</v>
      </c>
      <c r="G17" s="5" t="s">
        <v>14</v>
      </c>
    </row>
    <row r="18" customFormat="false" ht="15" hidden="false" customHeight="true" outlineLevel="0" collapsed="false">
      <c r="A18" s="5" t="s">
        <v>18</v>
      </c>
      <c r="B18" s="6" t="s">
        <v>63</v>
      </c>
      <c r="C18" s="5" t="s">
        <v>64</v>
      </c>
      <c r="D18" s="5" t="s">
        <v>41</v>
      </c>
      <c r="E18" s="5" t="s">
        <v>65</v>
      </c>
      <c r="F18" s="5" t="s">
        <v>66</v>
      </c>
      <c r="G18" s="5" t="s">
        <v>14</v>
      </c>
    </row>
    <row r="19" customFormat="false" ht="15" hidden="false" customHeight="true" outlineLevel="0" collapsed="false">
      <c r="A19" s="5" t="s">
        <v>18</v>
      </c>
      <c r="B19" s="6" t="s">
        <v>67</v>
      </c>
      <c r="C19" s="5" t="s">
        <v>68</v>
      </c>
      <c r="D19" s="5" t="s">
        <v>41</v>
      </c>
      <c r="E19" s="5" t="s">
        <v>69</v>
      </c>
      <c r="F19" s="5" t="s">
        <v>70</v>
      </c>
      <c r="G19" s="9" t="s">
        <v>71</v>
      </c>
    </row>
    <row r="20" customFormat="false" ht="15" hidden="false" customHeight="true" outlineLevel="0" collapsed="false">
      <c r="A20" s="5" t="s">
        <v>18</v>
      </c>
      <c r="B20" s="6" t="s">
        <v>72</v>
      </c>
      <c r="C20" s="5" t="s">
        <v>73</v>
      </c>
      <c r="D20" s="5" t="s">
        <v>41</v>
      </c>
      <c r="E20" s="5" t="s">
        <v>74</v>
      </c>
      <c r="F20" s="5" t="s">
        <v>54</v>
      </c>
      <c r="G20" s="9" t="s">
        <v>75</v>
      </c>
    </row>
    <row r="21" customFormat="false" ht="15" hidden="false" customHeight="true" outlineLevel="0" collapsed="false">
      <c r="A21" s="5" t="s">
        <v>18</v>
      </c>
      <c r="B21" s="6" t="s">
        <v>76</v>
      </c>
      <c r="C21" s="5" t="s">
        <v>77</v>
      </c>
      <c r="D21" s="5" t="s">
        <v>41</v>
      </c>
      <c r="E21" s="5" t="s">
        <v>78</v>
      </c>
      <c r="F21" s="5" t="s">
        <v>54</v>
      </c>
      <c r="G21" s="9" t="s">
        <v>71</v>
      </c>
    </row>
    <row r="22" customFormat="false" ht="15" hidden="false" customHeight="true" outlineLevel="0" collapsed="false">
      <c r="A22" s="5" t="s">
        <v>18</v>
      </c>
      <c r="B22" s="6" t="s">
        <v>79</v>
      </c>
      <c r="C22" s="5" t="s">
        <v>80</v>
      </c>
      <c r="D22" s="5" t="s">
        <v>41</v>
      </c>
      <c r="E22" s="5" t="s">
        <v>81</v>
      </c>
      <c r="F22" s="5" t="s">
        <v>54</v>
      </c>
      <c r="G22" s="5" t="s">
        <v>14</v>
      </c>
    </row>
    <row r="23" customFormat="false" ht="21.75" hidden="false" customHeight="true" outlineLevel="0" collapsed="false">
      <c r="A23" s="3" t="s">
        <v>82</v>
      </c>
      <c r="B23" s="3"/>
      <c r="C23" s="3"/>
      <c r="D23" s="3"/>
      <c r="E23" s="3"/>
      <c r="F23" s="3"/>
      <c r="G23" s="3"/>
    </row>
    <row r="24" customFormat="false" ht="15" hidden="false" customHeight="true" outlineLevel="0" collapsed="false">
      <c r="A24" s="4" t="s">
        <v>8</v>
      </c>
      <c r="B24" s="4" t="s">
        <v>83</v>
      </c>
      <c r="C24" s="4" t="s">
        <v>84</v>
      </c>
      <c r="D24" s="4" t="s">
        <v>85</v>
      </c>
      <c r="E24" s="4" t="s">
        <v>86</v>
      </c>
      <c r="F24" s="4" t="s">
        <v>13</v>
      </c>
      <c r="G24" s="4" t="s">
        <v>14</v>
      </c>
    </row>
    <row r="25" customFormat="false" ht="15" hidden="false" customHeight="true" outlineLevel="0" collapsed="false">
      <c r="A25" s="5" t="s">
        <v>18</v>
      </c>
      <c r="B25" s="6" t="s">
        <v>87</v>
      </c>
      <c r="C25" s="5" t="s">
        <v>88</v>
      </c>
      <c r="D25" s="5" t="s">
        <v>89</v>
      </c>
      <c r="E25" s="5" t="s">
        <v>90</v>
      </c>
      <c r="F25" s="5" t="s">
        <v>58</v>
      </c>
      <c r="G25" s="5" t="s">
        <v>14</v>
      </c>
    </row>
    <row r="26" customFormat="false" ht="15" hidden="false" customHeight="true" outlineLevel="0" collapsed="false">
      <c r="A26" s="5" t="s">
        <v>18</v>
      </c>
      <c r="B26" s="6" t="s">
        <v>91</v>
      </c>
      <c r="C26" s="5" t="s">
        <v>92</v>
      </c>
      <c r="D26" s="5" t="s">
        <v>89</v>
      </c>
      <c r="E26" s="5" t="s">
        <v>93</v>
      </c>
      <c r="F26" s="5" t="s">
        <v>58</v>
      </c>
      <c r="G26" s="5" t="s">
        <v>14</v>
      </c>
    </row>
    <row r="27" customFormat="false" ht="15" hidden="false" customHeight="true" outlineLevel="0" collapsed="false">
      <c r="A27" s="5" t="s">
        <v>18</v>
      </c>
      <c r="B27" s="6" t="s">
        <v>94</v>
      </c>
      <c r="C27" s="5" t="s">
        <v>95</v>
      </c>
      <c r="D27" s="5" t="s">
        <v>89</v>
      </c>
      <c r="E27" s="5" t="s">
        <v>96</v>
      </c>
      <c r="F27" s="5" t="s">
        <v>50</v>
      </c>
      <c r="G27" s="5" t="s">
        <v>14</v>
      </c>
    </row>
    <row r="28" customFormat="false" ht="15" hidden="false" customHeight="true" outlineLevel="0" collapsed="false">
      <c r="A28" s="10" t="s">
        <v>97</v>
      </c>
      <c r="B28" s="11" t="s">
        <v>98</v>
      </c>
      <c r="C28" s="10" t="s">
        <v>99</v>
      </c>
      <c r="D28" s="10" t="s">
        <v>100</v>
      </c>
      <c r="E28" s="10" t="s">
        <v>101</v>
      </c>
      <c r="F28" s="10" t="s">
        <v>102</v>
      </c>
      <c r="G28" s="9" t="s">
        <v>103</v>
      </c>
    </row>
    <row r="29" customFormat="false" ht="15" hidden="false" customHeight="true" outlineLevel="0" collapsed="false">
      <c r="A29" s="10" t="s">
        <v>97</v>
      </c>
      <c r="B29" s="11" t="s">
        <v>104</v>
      </c>
      <c r="C29" s="10" t="s">
        <v>105</v>
      </c>
      <c r="D29" s="10" t="s">
        <v>100</v>
      </c>
      <c r="E29" s="10" t="s">
        <v>106</v>
      </c>
      <c r="F29" s="10" t="s">
        <v>107</v>
      </c>
      <c r="G29" s="9" t="s">
        <v>103</v>
      </c>
    </row>
    <row r="30" customFormat="false" ht="15" hidden="false" customHeight="true" outlineLevel="0" collapsed="false">
      <c r="A30" s="10" t="s">
        <v>97</v>
      </c>
      <c r="B30" s="11" t="s">
        <v>108</v>
      </c>
      <c r="C30" s="10" t="s">
        <v>109</v>
      </c>
      <c r="D30" s="10" t="s">
        <v>100</v>
      </c>
      <c r="E30" s="10" t="s">
        <v>110</v>
      </c>
      <c r="F30" s="10" t="s">
        <v>111</v>
      </c>
      <c r="G30" s="9" t="s">
        <v>103</v>
      </c>
    </row>
    <row r="31" customFormat="false" ht="15" hidden="false" customHeight="true" outlineLevel="0" collapsed="false">
      <c r="A31" s="10" t="s">
        <v>97</v>
      </c>
      <c r="B31" s="11" t="s">
        <v>112</v>
      </c>
      <c r="C31" s="10" t="s">
        <v>113</v>
      </c>
      <c r="D31" s="10" t="s">
        <v>100</v>
      </c>
      <c r="E31" s="10" t="s">
        <v>114</v>
      </c>
      <c r="F31" s="10" t="s">
        <v>62</v>
      </c>
      <c r="G31" s="9" t="s">
        <v>103</v>
      </c>
    </row>
    <row r="32" customFormat="false" ht="15" hidden="false" customHeight="true" outlineLevel="0" collapsed="false">
      <c r="A32" s="10" t="s">
        <v>97</v>
      </c>
      <c r="B32" s="11" t="s">
        <v>115</v>
      </c>
      <c r="C32" s="10" t="s">
        <v>116</v>
      </c>
      <c r="D32" s="10" t="s">
        <v>100</v>
      </c>
      <c r="E32" s="10" t="s">
        <v>117</v>
      </c>
      <c r="F32" s="10" t="s">
        <v>62</v>
      </c>
      <c r="G32" s="9" t="s">
        <v>103</v>
      </c>
    </row>
    <row r="33" customFormat="false" ht="15" hidden="false" customHeight="true" outlineLevel="0" collapsed="false">
      <c r="A33" s="10" t="s">
        <v>97</v>
      </c>
      <c r="B33" s="11" t="s">
        <v>118</v>
      </c>
      <c r="C33" s="10" t="s">
        <v>119</v>
      </c>
      <c r="D33" s="10" t="s">
        <v>100</v>
      </c>
      <c r="E33" s="10" t="s">
        <v>120</v>
      </c>
      <c r="F33" s="10" t="s">
        <v>62</v>
      </c>
      <c r="G33" s="9" t="s">
        <v>103</v>
      </c>
    </row>
    <row r="34" customFormat="false" ht="15" hidden="false" customHeight="true" outlineLevel="0" collapsed="false">
      <c r="A34" s="10" t="s">
        <v>97</v>
      </c>
      <c r="B34" s="11" t="s">
        <v>121</v>
      </c>
      <c r="C34" s="10" t="s">
        <v>122</v>
      </c>
      <c r="D34" s="10" t="s">
        <v>123</v>
      </c>
      <c r="E34" s="10" t="s">
        <v>124</v>
      </c>
      <c r="F34" s="10" t="s">
        <v>13</v>
      </c>
      <c r="G34" s="10" t="s">
        <v>125</v>
      </c>
    </row>
    <row r="35" customFormat="false" ht="21.75" hidden="false" customHeight="true" outlineLevel="0" collapsed="false">
      <c r="A35" s="3" t="s">
        <v>126</v>
      </c>
      <c r="B35" s="3"/>
      <c r="C35" s="3"/>
      <c r="D35" s="3"/>
      <c r="E35" s="3"/>
      <c r="F35" s="3"/>
      <c r="G35" s="3"/>
    </row>
    <row r="36" customFormat="false" ht="15" hidden="false" customHeight="true" outlineLevel="0" collapsed="false">
      <c r="A36" s="4" t="s">
        <v>8</v>
      </c>
      <c r="B36" s="4" t="s">
        <v>127</v>
      </c>
      <c r="C36" s="4" t="s">
        <v>128</v>
      </c>
      <c r="D36" s="4" t="s">
        <v>129</v>
      </c>
      <c r="E36" s="4" t="s">
        <v>130</v>
      </c>
      <c r="F36" s="4" t="s">
        <v>13</v>
      </c>
      <c r="G36" s="4" t="s">
        <v>14</v>
      </c>
    </row>
    <row r="37" customFormat="false" ht="15" hidden="false" customHeight="true" outlineLevel="0" collapsed="false">
      <c r="A37" s="5" t="s">
        <v>18</v>
      </c>
      <c r="B37" s="6" t="s">
        <v>131</v>
      </c>
      <c r="C37" s="5" t="s">
        <v>132</v>
      </c>
      <c r="D37" s="5" t="s">
        <v>129</v>
      </c>
      <c r="E37" s="5" t="s">
        <v>133</v>
      </c>
      <c r="F37" s="5" t="s">
        <v>134</v>
      </c>
      <c r="G37" s="5" t="s">
        <v>14</v>
      </c>
    </row>
    <row r="38" customFormat="false" ht="15" hidden="false" customHeight="true" outlineLevel="0" collapsed="false">
      <c r="A38" s="5" t="s">
        <v>18</v>
      </c>
      <c r="B38" s="6" t="s">
        <v>135</v>
      </c>
      <c r="C38" s="5" t="s">
        <v>136</v>
      </c>
      <c r="D38" s="5" t="s">
        <v>129</v>
      </c>
      <c r="E38" s="5" t="s">
        <v>137</v>
      </c>
      <c r="F38" s="5" t="s">
        <v>46</v>
      </c>
      <c r="G38" s="5" t="s">
        <v>14</v>
      </c>
    </row>
    <row r="39" customFormat="false" ht="15" hidden="false" customHeight="true" outlineLevel="0" collapsed="false">
      <c r="A39" s="10" t="s">
        <v>97</v>
      </c>
      <c r="B39" s="11" t="s">
        <v>138</v>
      </c>
      <c r="C39" s="10" t="s">
        <v>139</v>
      </c>
      <c r="D39" s="10" t="s">
        <v>129</v>
      </c>
      <c r="E39" s="10" t="s">
        <v>140</v>
      </c>
      <c r="F39" s="10" t="s">
        <v>141</v>
      </c>
      <c r="G39" s="12" t="s">
        <v>142</v>
      </c>
    </row>
    <row r="40" customFormat="false" ht="15" hidden="false" customHeight="true" outlineLevel="0" collapsed="false">
      <c r="A40" s="10" t="s">
        <v>97</v>
      </c>
      <c r="B40" s="11" t="s">
        <v>143</v>
      </c>
      <c r="C40" s="10" t="s">
        <v>144</v>
      </c>
      <c r="D40" s="10" t="s">
        <v>129</v>
      </c>
      <c r="E40" s="10" t="s">
        <v>145</v>
      </c>
      <c r="F40" s="10" t="s">
        <v>146</v>
      </c>
      <c r="G40" s="10" t="s">
        <v>14</v>
      </c>
    </row>
    <row r="41" customFormat="false" ht="15" hidden="false" customHeight="true" outlineLevel="0" collapsed="false">
      <c r="A41" s="10" t="s">
        <v>97</v>
      </c>
      <c r="B41" s="11" t="s">
        <v>147</v>
      </c>
      <c r="C41" s="10" t="s">
        <v>148</v>
      </c>
      <c r="D41" s="10" t="s">
        <v>129</v>
      </c>
      <c r="E41" s="10" t="s">
        <v>149</v>
      </c>
      <c r="F41" s="10" t="s">
        <v>150</v>
      </c>
      <c r="G41" s="12" t="s">
        <v>142</v>
      </c>
    </row>
    <row r="42" customFormat="false" ht="15" hidden="false" customHeight="true" outlineLevel="0" collapsed="false">
      <c r="A42" s="10" t="s">
        <v>97</v>
      </c>
      <c r="B42" s="11" t="s">
        <v>151</v>
      </c>
      <c r="C42" s="10" t="s">
        <v>152</v>
      </c>
      <c r="D42" s="10" t="s">
        <v>129</v>
      </c>
      <c r="E42" s="10" t="s">
        <v>153</v>
      </c>
      <c r="F42" s="10" t="s">
        <v>154</v>
      </c>
      <c r="G42" s="12" t="s">
        <v>155</v>
      </c>
    </row>
    <row r="43" customFormat="false" ht="15" hidden="false" customHeight="true" outlineLevel="0" collapsed="false">
      <c r="A43" s="10" t="s">
        <v>97</v>
      </c>
      <c r="B43" s="11" t="s">
        <v>156</v>
      </c>
      <c r="C43" s="10" t="s">
        <v>157</v>
      </c>
      <c r="D43" s="10" t="s">
        <v>129</v>
      </c>
      <c r="E43" s="10" t="s">
        <v>158</v>
      </c>
      <c r="F43" s="10" t="s">
        <v>159</v>
      </c>
      <c r="G43" s="10" t="s">
        <v>14</v>
      </c>
    </row>
    <row r="44" customFormat="false" ht="15" hidden="false" customHeight="true" outlineLevel="0" collapsed="false">
      <c r="A44" s="10" t="s">
        <v>97</v>
      </c>
      <c r="B44" s="11" t="s">
        <v>160</v>
      </c>
      <c r="C44" s="10" t="s">
        <v>161</v>
      </c>
      <c r="D44" s="10" t="s">
        <v>129</v>
      </c>
      <c r="E44" s="10" t="s">
        <v>162</v>
      </c>
      <c r="F44" s="10" t="s">
        <v>50</v>
      </c>
      <c r="G44" s="12" t="s">
        <v>142</v>
      </c>
    </row>
    <row r="45" customFormat="false" ht="15" hidden="false" customHeight="true" outlineLevel="0" collapsed="false">
      <c r="A45" s="5" t="s">
        <v>18</v>
      </c>
      <c r="B45" s="6" t="s">
        <v>163</v>
      </c>
      <c r="C45" s="5" t="s">
        <v>164</v>
      </c>
      <c r="D45" s="5" t="s">
        <v>129</v>
      </c>
      <c r="E45" s="5" t="s">
        <v>165</v>
      </c>
      <c r="F45" s="5" t="s">
        <v>141</v>
      </c>
      <c r="G45" s="5" t="s">
        <v>14</v>
      </c>
    </row>
    <row r="46" customFormat="false" ht="15" hidden="false" customHeight="true" outlineLevel="0" collapsed="false">
      <c r="A46" s="5" t="s">
        <v>18</v>
      </c>
      <c r="B46" s="6" t="s">
        <v>166</v>
      </c>
      <c r="C46" s="5" t="s">
        <v>167</v>
      </c>
      <c r="D46" s="5" t="s">
        <v>129</v>
      </c>
      <c r="E46" s="5" t="s">
        <v>168</v>
      </c>
      <c r="F46" s="5" t="s">
        <v>46</v>
      </c>
      <c r="G46" s="5" t="s">
        <v>14</v>
      </c>
    </row>
    <row r="47" customFormat="false" ht="15" hidden="false" customHeight="true" outlineLevel="0" collapsed="false">
      <c r="A47" s="5" t="s">
        <v>18</v>
      </c>
      <c r="B47" s="6" t="s">
        <v>169</v>
      </c>
      <c r="C47" s="5" t="s">
        <v>170</v>
      </c>
      <c r="D47" s="5" t="s">
        <v>129</v>
      </c>
      <c r="E47" s="5" t="s">
        <v>171</v>
      </c>
      <c r="F47" s="5" t="s">
        <v>172</v>
      </c>
      <c r="G47" s="5" t="s">
        <v>14</v>
      </c>
    </row>
    <row r="48" customFormat="false" ht="15" hidden="false" customHeight="true" outlineLevel="0" collapsed="false">
      <c r="A48" s="5" t="s">
        <v>18</v>
      </c>
      <c r="B48" s="6" t="s">
        <v>173</v>
      </c>
      <c r="C48" s="5" t="s">
        <v>174</v>
      </c>
      <c r="D48" s="5" t="s">
        <v>129</v>
      </c>
      <c r="E48" s="5" t="s">
        <v>175</v>
      </c>
      <c r="F48" s="5" t="s">
        <v>111</v>
      </c>
      <c r="G48" s="5" t="s">
        <v>14</v>
      </c>
    </row>
    <row r="49" customFormat="false" ht="15" hidden="false" customHeight="true" outlineLevel="0" collapsed="false">
      <c r="A49" s="5" t="s">
        <v>18</v>
      </c>
      <c r="B49" s="6" t="s">
        <v>176</v>
      </c>
      <c r="C49" s="5" t="s">
        <v>177</v>
      </c>
      <c r="D49" s="5" t="s">
        <v>129</v>
      </c>
      <c r="E49" s="5" t="s">
        <v>178</v>
      </c>
      <c r="F49" s="5" t="s">
        <v>172</v>
      </c>
      <c r="G49" s="5" t="s">
        <v>14</v>
      </c>
    </row>
    <row r="50" customFormat="false" ht="15" hidden="false" customHeight="true" outlineLevel="0" collapsed="false">
      <c r="A50" s="5" t="s">
        <v>18</v>
      </c>
      <c r="B50" s="6" t="s">
        <v>179</v>
      </c>
      <c r="C50" s="5" t="s">
        <v>180</v>
      </c>
      <c r="D50" s="5" t="s">
        <v>129</v>
      </c>
      <c r="E50" s="5" t="s">
        <v>181</v>
      </c>
      <c r="F50" s="5" t="s">
        <v>182</v>
      </c>
      <c r="G50" s="9" t="s">
        <v>183</v>
      </c>
    </row>
    <row r="51" customFormat="false" ht="15" hidden="false" customHeight="true" outlineLevel="0" collapsed="false">
      <c r="A51" s="5" t="s">
        <v>18</v>
      </c>
      <c r="B51" s="6" t="s">
        <v>184</v>
      </c>
      <c r="C51" s="5" t="s">
        <v>185</v>
      </c>
      <c r="D51" s="5" t="s">
        <v>129</v>
      </c>
      <c r="E51" s="5" t="s">
        <v>186</v>
      </c>
      <c r="F51" s="5" t="s">
        <v>187</v>
      </c>
      <c r="G51" s="5" t="s">
        <v>14</v>
      </c>
    </row>
    <row r="52" customFormat="false" ht="15" hidden="false" customHeight="true" outlineLevel="0" collapsed="false">
      <c r="A52" s="5" t="s">
        <v>18</v>
      </c>
      <c r="B52" s="6" t="s">
        <v>188</v>
      </c>
      <c r="C52" s="5" t="s">
        <v>189</v>
      </c>
      <c r="D52" s="5" t="s">
        <v>129</v>
      </c>
      <c r="E52" s="5" t="s">
        <v>190</v>
      </c>
      <c r="F52" s="5" t="s">
        <v>159</v>
      </c>
      <c r="G52" s="5" t="s">
        <v>14</v>
      </c>
    </row>
    <row r="53" customFormat="false" ht="15" hidden="false" customHeight="true" outlineLevel="0" collapsed="false">
      <c r="A53" s="5" t="s">
        <v>18</v>
      </c>
      <c r="B53" s="6" t="s">
        <v>191</v>
      </c>
      <c r="C53" s="5" t="s">
        <v>192</v>
      </c>
      <c r="D53" s="5" t="s">
        <v>129</v>
      </c>
      <c r="E53" s="5" t="s">
        <v>193</v>
      </c>
      <c r="F53" s="5" t="s">
        <v>194</v>
      </c>
      <c r="G53" s="5" t="s">
        <v>14</v>
      </c>
    </row>
    <row r="54" customFormat="false" ht="15" hidden="false" customHeight="true" outlineLevel="0" collapsed="false">
      <c r="A54" s="5" t="s">
        <v>18</v>
      </c>
      <c r="B54" s="6" t="s">
        <v>195</v>
      </c>
      <c r="C54" s="5" t="s">
        <v>196</v>
      </c>
      <c r="D54" s="5" t="s">
        <v>129</v>
      </c>
      <c r="E54" s="5" t="s">
        <v>197</v>
      </c>
      <c r="F54" s="5" t="s">
        <v>198</v>
      </c>
      <c r="G54" s="5" t="s">
        <v>14</v>
      </c>
    </row>
    <row r="55" customFormat="false" ht="15" hidden="false" customHeight="true" outlineLevel="0" collapsed="false">
      <c r="A55" s="10" t="s">
        <v>97</v>
      </c>
      <c r="B55" s="11" t="s">
        <v>199</v>
      </c>
      <c r="C55" s="10" t="s">
        <v>200</v>
      </c>
      <c r="D55" s="10" t="s">
        <v>129</v>
      </c>
      <c r="E55" s="10" t="s">
        <v>201</v>
      </c>
      <c r="F55" s="10" t="s">
        <v>13</v>
      </c>
      <c r="G55" s="10" t="s">
        <v>14</v>
      </c>
    </row>
    <row r="56" customFormat="false" ht="15" hidden="false" customHeight="true" outlineLevel="0" collapsed="false">
      <c r="A56" s="10" t="s">
        <v>97</v>
      </c>
      <c r="B56" s="11" t="s">
        <v>202</v>
      </c>
      <c r="C56" s="10" t="s">
        <v>203</v>
      </c>
      <c r="D56" s="10" t="s">
        <v>129</v>
      </c>
      <c r="E56" s="10" t="s">
        <v>201</v>
      </c>
      <c r="F56" s="10" t="s">
        <v>13</v>
      </c>
      <c r="G56" s="10" t="s">
        <v>14</v>
      </c>
    </row>
    <row r="57" customFormat="false" ht="15" hidden="false" customHeight="true" outlineLevel="0" collapsed="false">
      <c r="A57" s="10" t="s">
        <v>97</v>
      </c>
      <c r="B57" s="11" t="s">
        <v>204</v>
      </c>
      <c r="C57" s="10" t="s">
        <v>205</v>
      </c>
      <c r="D57" s="10" t="s">
        <v>129</v>
      </c>
      <c r="E57" s="10" t="s">
        <v>201</v>
      </c>
      <c r="F57" s="10" t="s">
        <v>13</v>
      </c>
      <c r="G57" s="10" t="s">
        <v>14</v>
      </c>
    </row>
    <row r="58" customFormat="false" ht="15" hidden="false" customHeight="true" outlineLevel="0" collapsed="false">
      <c r="A58" s="5" t="s">
        <v>18</v>
      </c>
      <c r="B58" s="6" t="s">
        <v>206</v>
      </c>
      <c r="C58" s="5" t="s">
        <v>207</v>
      </c>
      <c r="D58" s="5" t="s">
        <v>129</v>
      </c>
      <c r="E58" s="5" t="s">
        <v>208</v>
      </c>
      <c r="F58" s="5" t="s">
        <v>102</v>
      </c>
      <c r="G58" s="5" t="s">
        <v>14</v>
      </c>
    </row>
    <row r="59" customFormat="false" ht="15" hidden="false" customHeight="true" outlineLevel="0" collapsed="false">
      <c r="A59" s="5" t="s">
        <v>18</v>
      </c>
      <c r="B59" s="6" t="s">
        <v>209</v>
      </c>
      <c r="C59" s="5" t="s">
        <v>210</v>
      </c>
      <c r="D59" s="5" t="s">
        <v>129</v>
      </c>
      <c r="E59" s="5" t="s">
        <v>211</v>
      </c>
      <c r="F59" s="5" t="s">
        <v>107</v>
      </c>
      <c r="G59" s="5" t="s">
        <v>14</v>
      </c>
    </row>
    <row r="60" customFormat="false" ht="15" hidden="false" customHeight="true" outlineLevel="0" collapsed="false">
      <c r="A60" s="5" t="s">
        <v>18</v>
      </c>
      <c r="B60" s="6" t="s">
        <v>212</v>
      </c>
      <c r="C60" s="5" t="s">
        <v>213</v>
      </c>
      <c r="D60" s="5" t="s">
        <v>129</v>
      </c>
      <c r="E60" s="5" t="s">
        <v>214</v>
      </c>
      <c r="F60" s="5" t="s">
        <v>102</v>
      </c>
      <c r="G60" s="5" t="s">
        <v>14</v>
      </c>
    </row>
    <row r="61" customFormat="false" ht="21.75" hidden="false" customHeight="true" outlineLevel="0" collapsed="false">
      <c r="A61" s="3" t="s">
        <v>215</v>
      </c>
      <c r="B61" s="3"/>
      <c r="C61" s="3"/>
      <c r="D61" s="3"/>
      <c r="E61" s="3"/>
      <c r="F61" s="3"/>
      <c r="G61" s="3"/>
    </row>
    <row r="62" customFormat="false" ht="15" hidden="false" customHeight="true" outlineLevel="0" collapsed="false">
      <c r="A62" s="4" t="s">
        <v>8</v>
      </c>
      <c r="B62" s="4" t="s">
        <v>216</v>
      </c>
      <c r="C62" s="4" t="s">
        <v>217</v>
      </c>
      <c r="D62" s="4" t="s">
        <v>218</v>
      </c>
      <c r="E62" s="4" t="s">
        <v>219</v>
      </c>
      <c r="F62" s="4" t="s">
        <v>13</v>
      </c>
      <c r="G62" s="4" t="s">
        <v>125</v>
      </c>
    </row>
    <row r="63" customFormat="false" ht="15" hidden="false" customHeight="true" outlineLevel="0" collapsed="false">
      <c r="A63" s="5" t="s">
        <v>18</v>
      </c>
      <c r="B63" s="6" t="s">
        <v>220</v>
      </c>
      <c r="C63" s="5" t="s">
        <v>221</v>
      </c>
      <c r="D63" s="5" t="s">
        <v>218</v>
      </c>
      <c r="E63" s="5" t="s">
        <v>222</v>
      </c>
      <c r="F63" s="5" t="s">
        <v>13</v>
      </c>
      <c r="G63" s="5" t="s">
        <v>125</v>
      </c>
    </row>
    <row r="64" customFormat="false" ht="15" hidden="false" customHeight="true" outlineLevel="0" collapsed="false">
      <c r="A64" s="5" t="s">
        <v>18</v>
      </c>
      <c r="B64" s="6" t="s">
        <v>223</v>
      </c>
      <c r="C64" s="5" t="s">
        <v>224</v>
      </c>
      <c r="D64" s="5" t="s">
        <v>218</v>
      </c>
      <c r="E64" s="5" t="s">
        <v>222</v>
      </c>
      <c r="F64" s="5" t="s">
        <v>13</v>
      </c>
      <c r="G64" s="5" t="s">
        <v>125</v>
      </c>
    </row>
    <row r="65" customFormat="false" ht="15" hidden="false" customHeight="true" outlineLevel="0" collapsed="false">
      <c r="A65" s="5" t="s">
        <v>18</v>
      </c>
      <c r="B65" s="6" t="s">
        <v>225</v>
      </c>
      <c r="C65" s="5" t="s">
        <v>226</v>
      </c>
      <c r="D65" s="5" t="s">
        <v>218</v>
      </c>
      <c r="E65" s="5" t="s">
        <v>222</v>
      </c>
      <c r="F65" s="5" t="s">
        <v>13</v>
      </c>
      <c r="G65" s="5" t="s">
        <v>125</v>
      </c>
    </row>
    <row r="66" customFormat="false" ht="15" hidden="false" customHeight="true" outlineLevel="0" collapsed="false">
      <c r="A66" s="5" t="s">
        <v>18</v>
      </c>
      <c r="B66" s="6" t="s">
        <v>227</v>
      </c>
      <c r="C66" s="5" t="s">
        <v>228</v>
      </c>
      <c r="D66" s="5" t="s">
        <v>218</v>
      </c>
      <c r="E66" s="5" t="s">
        <v>222</v>
      </c>
      <c r="F66" s="5" t="s">
        <v>13</v>
      </c>
      <c r="G66" s="5" t="s">
        <v>125</v>
      </c>
    </row>
    <row r="67" customFormat="false" ht="15" hidden="false" customHeight="true" outlineLevel="0" collapsed="false">
      <c r="A67" s="5" t="s">
        <v>18</v>
      </c>
      <c r="B67" s="6" t="s">
        <v>229</v>
      </c>
      <c r="C67" s="5" t="s">
        <v>230</v>
      </c>
      <c r="D67" s="5" t="s">
        <v>218</v>
      </c>
      <c r="E67" s="5" t="s">
        <v>222</v>
      </c>
      <c r="F67" s="5" t="s">
        <v>13</v>
      </c>
      <c r="G67" s="5" t="s">
        <v>125</v>
      </c>
    </row>
    <row r="68" customFormat="false" ht="15" hidden="false" customHeight="true" outlineLevel="0" collapsed="false">
      <c r="A68" s="5" t="s">
        <v>18</v>
      </c>
      <c r="B68" s="6" t="s">
        <v>231</v>
      </c>
      <c r="C68" s="5" t="s">
        <v>232</v>
      </c>
      <c r="D68" s="5" t="s">
        <v>218</v>
      </c>
      <c r="E68" s="5" t="s">
        <v>222</v>
      </c>
      <c r="F68" s="5" t="s">
        <v>13</v>
      </c>
      <c r="G68" s="5" t="s">
        <v>125</v>
      </c>
    </row>
    <row r="69" customFormat="false" ht="15" hidden="false" customHeight="true" outlineLevel="0" collapsed="false">
      <c r="A69" s="5" t="s">
        <v>18</v>
      </c>
      <c r="B69" s="6" t="s">
        <v>233</v>
      </c>
      <c r="C69" s="5" t="s">
        <v>234</v>
      </c>
      <c r="D69" s="5" t="s">
        <v>218</v>
      </c>
      <c r="E69" s="5" t="s">
        <v>222</v>
      </c>
      <c r="F69" s="5" t="s">
        <v>13</v>
      </c>
      <c r="G69" s="5" t="s">
        <v>125</v>
      </c>
    </row>
    <row r="70" customFormat="false" ht="15" hidden="false" customHeight="true" outlineLevel="0" collapsed="false">
      <c r="A70" s="5" t="s">
        <v>18</v>
      </c>
      <c r="B70" s="6" t="s">
        <v>235</v>
      </c>
      <c r="C70" s="5" t="s">
        <v>236</v>
      </c>
      <c r="D70" s="5" t="s">
        <v>218</v>
      </c>
      <c r="E70" s="5" t="s">
        <v>222</v>
      </c>
      <c r="F70" s="5" t="s">
        <v>13</v>
      </c>
      <c r="G70" s="5" t="s">
        <v>125</v>
      </c>
    </row>
    <row r="71" customFormat="false" ht="15" hidden="false" customHeight="true" outlineLevel="0" collapsed="false">
      <c r="A71" s="5" t="s">
        <v>18</v>
      </c>
      <c r="B71" s="6" t="s">
        <v>237</v>
      </c>
      <c r="C71" s="5" t="s">
        <v>238</v>
      </c>
      <c r="D71" s="5" t="s">
        <v>218</v>
      </c>
      <c r="E71" s="5" t="s">
        <v>222</v>
      </c>
      <c r="F71" s="5" t="s">
        <v>13</v>
      </c>
      <c r="G71" s="5" t="s">
        <v>125</v>
      </c>
    </row>
    <row r="72" customFormat="false" ht="15" hidden="false" customHeight="true" outlineLevel="0" collapsed="false">
      <c r="A72" s="5" t="s">
        <v>18</v>
      </c>
      <c r="B72" s="6" t="s">
        <v>239</v>
      </c>
      <c r="C72" s="5" t="s">
        <v>240</v>
      </c>
      <c r="D72" s="5" t="s">
        <v>218</v>
      </c>
      <c r="E72" s="5" t="s">
        <v>222</v>
      </c>
      <c r="F72" s="5" t="s">
        <v>13</v>
      </c>
      <c r="G72" s="5" t="s">
        <v>125</v>
      </c>
    </row>
    <row r="73" customFormat="false" ht="15" hidden="false" customHeight="true" outlineLevel="0" collapsed="false">
      <c r="A73" s="5" t="s">
        <v>18</v>
      </c>
      <c r="B73" s="6" t="s">
        <v>241</v>
      </c>
      <c r="C73" s="5" t="s">
        <v>242</v>
      </c>
      <c r="D73" s="5" t="s">
        <v>218</v>
      </c>
      <c r="E73" s="5" t="s">
        <v>222</v>
      </c>
      <c r="F73" s="5" t="s">
        <v>13</v>
      </c>
      <c r="G73" s="5" t="s">
        <v>125</v>
      </c>
    </row>
    <row r="74" customFormat="false" ht="15" hidden="false" customHeight="true" outlineLevel="0" collapsed="false">
      <c r="A74" s="5" t="s">
        <v>18</v>
      </c>
      <c r="B74" s="6" t="s">
        <v>243</v>
      </c>
      <c r="C74" s="5" t="s">
        <v>244</v>
      </c>
      <c r="D74" s="5" t="s">
        <v>218</v>
      </c>
      <c r="E74" s="5" t="s">
        <v>222</v>
      </c>
      <c r="F74" s="5" t="s">
        <v>13</v>
      </c>
      <c r="G74" s="5" t="s">
        <v>125</v>
      </c>
    </row>
    <row r="75" customFormat="false" ht="15" hidden="false" customHeight="true" outlineLevel="0" collapsed="false">
      <c r="A75" s="5" t="s">
        <v>18</v>
      </c>
      <c r="B75" s="6" t="s">
        <v>245</v>
      </c>
      <c r="C75" s="5" t="s">
        <v>246</v>
      </c>
      <c r="D75" s="5" t="s">
        <v>218</v>
      </c>
      <c r="E75" s="5" t="s">
        <v>222</v>
      </c>
      <c r="F75" s="5" t="s">
        <v>13</v>
      </c>
      <c r="G75" s="5" t="s">
        <v>125</v>
      </c>
    </row>
    <row r="76" customFormat="false" ht="15" hidden="false" customHeight="true" outlineLevel="0" collapsed="false">
      <c r="A76" s="5" t="s">
        <v>18</v>
      </c>
      <c r="B76" s="6" t="s">
        <v>247</v>
      </c>
      <c r="C76" s="5" t="s">
        <v>248</v>
      </c>
      <c r="D76" s="5" t="s">
        <v>218</v>
      </c>
      <c r="E76" s="5" t="s">
        <v>222</v>
      </c>
      <c r="F76" s="5" t="s">
        <v>13</v>
      </c>
      <c r="G76" s="5" t="s">
        <v>125</v>
      </c>
    </row>
    <row r="77" customFormat="false" ht="15" hidden="false" customHeight="true" outlineLevel="0" collapsed="false">
      <c r="A77" s="5" t="s">
        <v>18</v>
      </c>
      <c r="B77" s="6" t="s">
        <v>249</v>
      </c>
      <c r="C77" s="5" t="s">
        <v>250</v>
      </c>
      <c r="D77" s="5" t="s">
        <v>218</v>
      </c>
      <c r="E77" s="5" t="s">
        <v>222</v>
      </c>
      <c r="F77" s="5" t="s">
        <v>13</v>
      </c>
      <c r="G77" s="5" t="s">
        <v>125</v>
      </c>
    </row>
    <row r="78" customFormat="false" ht="21.75" hidden="false" customHeight="true" outlineLevel="0" collapsed="false">
      <c r="A78" s="3" t="s">
        <v>251</v>
      </c>
      <c r="B78" s="3"/>
      <c r="C78" s="3"/>
      <c r="D78" s="3"/>
      <c r="E78" s="3"/>
      <c r="F78" s="3"/>
      <c r="G78" s="3"/>
    </row>
    <row r="79" customFormat="false" ht="15" hidden="false" customHeight="true" outlineLevel="0" collapsed="false">
      <c r="A79" s="4" t="s">
        <v>8</v>
      </c>
      <c r="B79" s="4" t="s">
        <v>252</v>
      </c>
      <c r="C79" s="4" t="s">
        <v>253</v>
      </c>
      <c r="D79" s="4" t="s">
        <v>254</v>
      </c>
      <c r="E79" s="4" t="s">
        <v>255</v>
      </c>
      <c r="F79" s="4" t="s">
        <v>107</v>
      </c>
      <c r="G79" s="4" t="s">
        <v>14</v>
      </c>
    </row>
    <row r="80" customFormat="false" ht="15" hidden="false" customHeight="true" outlineLevel="0" collapsed="false">
      <c r="A80" s="4" t="s">
        <v>8</v>
      </c>
      <c r="B80" s="4" t="s">
        <v>256</v>
      </c>
      <c r="C80" s="4" t="s">
        <v>257</v>
      </c>
      <c r="D80" s="4" t="s">
        <v>254</v>
      </c>
      <c r="E80" s="4" t="s">
        <v>258</v>
      </c>
      <c r="F80" s="4" t="s">
        <v>13</v>
      </c>
      <c r="G80" s="4" t="s">
        <v>14</v>
      </c>
    </row>
    <row r="81" customFormat="false" ht="15" hidden="false" customHeight="true" outlineLevel="0" collapsed="false">
      <c r="A81" s="4" t="s">
        <v>8</v>
      </c>
      <c r="B81" s="4" t="s">
        <v>259</v>
      </c>
      <c r="C81" s="4" t="s">
        <v>260</v>
      </c>
      <c r="D81" s="4" t="s">
        <v>254</v>
      </c>
      <c r="E81" s="4" t="s">
        <v>261</v>
      </c>
      <c r="F81" s="4" t="s">
        <v>13</v>
      </c>
      <c r="G81" s="4" t="s">
        <v>14</v>
      </c>
    </row>
    <row r="82" customFormat="false" ht="21.75" hidden="false" customHeight="true" outlineLevel="0" collapsed="false">
      <c r="A82" s="3" t="s">
        <v>262</v>
      </c>
      <c r="B82" s="3"/>
      <c r="C82" s="3"/>
      <c r="D82" s="3"/>
      <c r="E82" s="3"/>
      <c r="F82" s="3"/>
      <c r="G82" s="3"/>
    </row>
    <row r="83" customFormat="false" ht="15" hidden="false" customHeight="true" outlineLevel="0" collapsed="false">
      <c r="A83" s="13" t="s">
        <v>13</v>
      </c>
      <c r="B83" s="14" t="s">
        <v>263</v>
      </c>
      <c r="C83" s="13" t="s">
        <v>264</v>
      </c>
      <c r="D83" s="13" t="s">
        <v>265</v>
      </c>
      <c r="E83" s="13" t="s">
        <v>266</v>
      </c>
      <c r="F83" s="13" t="s">
        <v>13</v>
      </c>
      <c r="G83" s="13" t="s">
        <v>267</v>
      </c>
    </row>
    <row r="84" customFormat="false" ht="15" hidden="false" customHeight="true" outlineLevel="0" collapsed="false">
      <c r="A84" s="13" t="s">
        <v>13</v>
      </c>
      <c r="B84" s="14" t="s">
        <v>268</v>
      </c>
      <c r="C84" s="13" t="s">
        <v>269</v>
      </c>
      <c r="D84" s="13" t="s">
        <v>32</v>
      </c>
      <c r="E84" s="13" t="s">
        <v>270</v>
      </c>
      <c r="F84" s="13" t="s">
        <v>13</v>
      </c>
      <c r="G84" s="13" t="s">
        <v>271</v>
      </c>
    </row>
    <row r="85" customFormat="false" ht="15" hidden="false" customHeight="true" outlineLevel="0" collapsed="false">
      <c r="A85" s="13" t="s">
        <v>13</v>
      </c>
      <c r="B85" s="14" t="s">
        <v>272</v>
      </c>
      <c r="C85" s="13" t="s">
        <v>269</v>
      </c>
      <c r="D85" s="13" t="s">
        <v>32</v>
      </c>
      <c r="E85" s="13" t="s">
        <v>273</v>
      </c>
      <c r="F85" s="13" t="s">
        <v>13</v>
      </c>
      <c r="G85" s="13" t="s">
        <v>274</v>
      </c>
    </row>
    <row r="86" customFormat="false" ht="15" hidden="false" customHeight="true" outlineLevel="0" collapsed="false">
      <c r="A86" s="13" t="s">
        <v>13</v>
      </c>
      <c r="B86" s="14" t="s">
        <v>275</v>
      </c>
      <c r="C86" s="13" t="s">
        <v>276</v>
      </c>
      <c r="D86" s="13" t="s">
        <v>277</v>
      </c>
      <c r="E86" s="13" t="s">
        <v>278</v>
      </c>
      <c r="F86" s="13" t="s">
        <v>13</v>
      </c>
      <c r="G86" s="13" t="s">
        <v>279</v>
      </c>
    </row>
    <row r="87" customFormat="false" ht="15" hidden="false" customHeight="true" outlineLevel="0" collapsed="false">
      <c r="A87" s="13" t="s">
        <v>13</v>
      </c>
      <c r="B87" s="14" t="s">
        <v>280</v>
      </c>
      <c r="C87" s="13" t="s">
        <v>281</v>
      </c>
      <c r="D87" s="13" t="s">
        <v>282</v>
      </c>
      <c r="E87" s="13" t="s">
        <v>283</v>
      </c>
      <c r="F87" s="13" t="s">
        <v>13</v>
      </c>
      <c r="G87" s="13" t="s">
        <v>284</v>
      </c>
    </row>
  </sheetData>
  <autoFilter ref="A1:G1"/>
  <mergeCells count="7">
    <mergeCell ref="A2:G2"/>
    <mergeCell ref="A11:G11"/>
    <mergeCell ref="A23:G23"/>
    <mergeCell ref="A35:G35"/>
    <mergeCell ref="A61:G61"/>
    <mergeCell ref="A78:G78"/>
    <mergeCell ref="A82:G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30"/>
  </cols>
  <sheetData>
    <row r="1" customFormat="false" ht="24" hidden="false" customHeight="true" outlineLevel="0" collapsed="false">
      <c r="A1" s="2" t="s">
        <v>285</v>
      </c>
      <c r="B1" s="2" t="s">
        <v>2</v>
      </c>
      <c r="C1" s="2" t="s">
        <v>286</v>
      </c>
      <c r="D1" s="2" t="s">
        <v>3</v>
      </c>
      <c r="E1" s="2" t="s">
        <v>6</v>
      </c>
    </row>
    <row r="2" customFormat="false" ht="15" hidden="false" customHeight="true" outlineLevel="0" collapsed="false">
      <c r="A2" s="15" t="s">
        <v>287</v>
      </c>
      <c r="B2" s="15" t="s">
        <v>288</v>
      </c>
      <c r="C2" s="15" t="s">
        <v>87</v>
      </c>
      <c r="D2" s="15" t="s">
        <v>289</v>
      </c>
      <c r="E2" s="15" t="s">
        <v>290</v>
      </c>
    </row>
    <row r="3" customFormat="false" ht="15" hidden="false" customHeight="true" outlineLevel="0" collapsed="false">
      <c r="A3" s="15" t="s">
        <v>291</v>
      </c>
      <c r="B3" s="15" t="s">
        <v>292</v>
      </c>
      <c r="C3" s="15" t="s">
        <v>87</v>
      </c>
      <c r="D3" s="15" t="s">
        <v>289</v>
      </c>
      <c r="E3" s="15" t="s">
        <v>290</v>
      </c>
    </row>
    <row r="4" customFormat="false" ht="15" hidden="false" customHeight="true" outlineLevel="0" collapsed="false">
      <c r="A4" s="15" t="s">
        <v>293</v>
      </c>
      <c r="B4" s="15" t="s">
        <v>294</v>
      </c>
      <c r="C4" s="15" t="s">
        <v>87</v>
      </c>
      <c r="D4" s="15" t="s">
        <v>289</v>
      </c>
      <c r="E4" s="15" t="s">
        <v>290</v>
      </c>
    </row>
    <row r="5" customFormat="false" ht="15" hidden="false" customHeight="true" outlineLevel="0" collapsed="false">
      <c r="A5" s="15" t="s">
        <v>295</v>
      </c>
      <c r="B5" s="15" t="s">
        <v>296</v>
      </c>
      <c r="C5" s="15" t="s">
        <v>87</v>
      </c>
      <c r="D5" s="15" t="s">
        <v>289</v>
      </c>
      <c r="E5" s="15" t="s">
        <v>290</v>
      </c>
    </row>
    <row r="6" customFormat="false" ht="15" hidden="false" customHeight="true" outlineLevel="0" collapsed="false">
      <c r="A6" s="15" t="s">
        <v>297</v>
      </c>
      <c r="B6" s="15" t="s">
        <v>298</v>
      </c>
      <c r="C6" s="15" t="s">
        <v>87</v>
      </c>
      <c r="D6" s="15" t="s">
        <v>289</v>
      </c>
      <c r="E6" s="15" t="s">
        <v>290</v>
      </c>
    </row>
    <row r="7" customFormat="false" ht="15" hidden="false" customHeight="true" outlineLevel="0" collapsed="false">
      <c r="A7" s="15" t="s">
        <v>299</v>
      </c>
      <c r="B7" s="15" t="s">
        <v>300</v>
      </c>
      <c r="C7" s="15" t="s">
        <v>87</v>
      </c>
      <c r="D7" s="15" t="s">
        <v>289</v>
      </c>
      <c r="E7" s="15" t="s">
        <v>290</v>
      </c>
    </row>
    <row r="8" customFormat="false" ht="15" hidden="false" customHeight="true" outlineLevel="0" collapsed="false">
      <c r="A8" s="15" t="s">
        <v>301</v>
      </c>
      <c r="B8" s="15" t="s">
        <v>302</v>
      </c>
      <c r="C8" s="15" t="s">
        <v>87</v>
      </c>
      <c r="D8" s="15" t="s">
        <v>289</v>
      </c>
      <c r="E8" s="15" t="s">
        <v>290</v>
      </c>
    </row>
    <row r="9" customFormat="false" ht="15" hidden="false" customHeight="true" outlineLevel="0" collapsed="false">
      <c r="A9" s="15" t="s">
        <v>303</v>
      </c>
      <c r="B9" s="15" t="s">
        <v>304</v>
      </c>
      <c r="C9" s="15" t="s">
        <v>87</v>
      </c>
      <c r="D9" s="15" t="s">
        <v>289</v>
      </c>
      <c r="E9" s="15" t="s">
        <v>290</v>
      </c>
    </row>
    <row r="10" customFormat="false" ht="15" hidden="false" customHeight="true" outlineLevel="0" collapsed="false">
      <c r="A10" s="16" t="s">
        <v>305</v>
      </c>
      <c r="B10" s="16" t="s">
        <v>306</v>
      </c>
      <c r="C10" s="16" t="s">
        <v>91</v>
      </c>
      <c r="D10" s="16" t="s">
        <v>289</v>
      </c>
      <c r="E10" s="16" t="s">
        <v>290</v>
      </c>
    </row>
    <row r="11" customFormat="false" ht="15" hidden="false" customHeight="true" outlineLevel="0" collapsed="false">
      <c r="A11" s="16" t="s">
        <v>307</v>
      </c>
      <c r="B11" s="16" t="s">
        <v>308</v>
      </c>
      <c r="C11" s="16" t="s">
        <v>91</v>
      </c>
      <c r="D11" s="16" t="s">
        <v>289</v>
      </c>
      <c r="E11" s="16" t="s">
        <v>290</v>
      </c>
    </row>
    <row r="12" customFormat="false" ht="15" hidden="false" customHeight="true" outlineLevel="0" collapsed="false">
      <c r="A12" s="16" t="s">
        <v>309</v>
      </c>
      <c r="B12" s="16" t="s">
        <v>310</v>
      </c>
      <c r="C12" s="16" t="s">
        <v>91</v>
      </c>
      <c r="D12" s="16" t="s">
        <v>289</v>
      </c>
      <c r="E12" s="16" t="s">
        <v>290</v>
      </c>
    </row>
    <row r="13" customFormat="false" ht="15" hidden="false" customHeight="true" outlineLevel="0" collapsed="false">
      <c r="A13" s="16" t="s">
        <v>311</v>
      </c>
      <c r="B13" s="16" t="s">
        <v>312</v>
      </c>
      <c r="C13" s="16" t="s">
        <v>91</v>
      </c>
      <c r="D13" s="16" t="s">
        <v>289</v>
      </c>
      <c r="E13" s="16" t="s">
        <v>290</v>
      </c>
    </row>
    <row r="14" customFormat="false" ht="15" hidden="false" customHeight="true" outlineLevel="0" collapsed="false">
      <c r="A14" s="16" t="s">
        <v>313</v>
      </c>
      <c r="B14" s="16" t="s">
        <v>314</v>
      </c>
      <c r="C14" s="16" t="s">
        <v>91</v>
      </c>
      <c r="D14" s="16" t="s">
        <v>289</v>
      </c>
      <c r="E14" s="16" t="s">
        <v>290</v>
      </c>
    </row>
    <row r="15" customFormat="false" ht="15" hidden="false" customHeight="true" outlineLevel="0" collapsed="false">
      <c r="A15" s="16" t="s">
        <v>315</v>
      </c>
      <c r="B15" s="16" t="s">
        <v>316</v>
      </c>
      <c r="C15" s="16" t="s">
        <v>91</v>
      </c>
      <c r="D15" s="16" t="s">
        <v>289</v>
      </c>
      <c r="E15" s="16" t="s">
        <v>290</v>
      </c>
    </row>
    <row r="16" customFormat="false" ht="15" hidden="false" customHeight="true" outlineLevel="0" collapsed="false">
      <c r="A16" s="16" t="s">
        <v>317</v>
      </c>
      <c r="B16" s="16" t="s">
        <v>318</v>
      </c>
      <c r="C16" s="16" t="s">
        <v>91</v>
      </c>
      <c r="D16" s="16" t="s">
        <v>289</v>
      </c>
      <c r="E16" s="16" t="s">
        <v>290</v>
      </c>
    </row>
    <row r="17" customFormat="false" ht="15" hidden="false" customHeight="true" outlineLevel="0" collapsed="false">
      <c r="A17" s="16" t="s">
        <v>319</v>
      </c>
      <c r="B17" s="16" t="s">
        <v>320</v>
      </c>
      <c r="C17" s="16" t="s">
        <v>91</v>
      </c>
      <c r="D17" s="16" t="s">
        <v>289</v>
      </c>
      <c r="E17" s="16" t="s">
        <v>290</v>
      </c>
    </row>
    <row r="18" customFormat="false" ht="15" hidden="false" customHeight="true" outlineLevel="0" collapsed="false">
      <c r="A18" s="16" t="s">
        <v>321</v>
      </c>
      <c r="B18" s="16" t="s">
        <v>322</v>
      </c>
      <c r="C18" s="16" t="s">
        <v>91</v>
      </c>
      <c r="D18" s="16" t="s">
        <v>289</v>
      </c>
      <c r="E18" s="16" t="s">
        <v>290</v>
      </c>
    </row>
    <row r="19" customFormat="false" ht="15" hidden="false" customHeight="true" outlineLevel="0" collapsed="false">
      <c r="A19" s="16" t="s">
        <v>323</v>
      </c>
      <c r="B19" s="16" t="s">
        <v>324</v>
      </c>
      <c r="C19" s="16" t="s">
        <v>91</v>
      </c>
      <c r="D19" s="16" t="s">
        <v>289</v>
      </c>
      <c r="E19" s="16" t="s">
        <v>290</v>
      </c>
    </row>
    <row r="20" customFormat="false" ht="15" hidden="false" customHeight="true" outlineLevel="0" collapsed="false">
      <c r="A20" s="16" t="s">
        <v>325</v>
      </c>
      <c r="B20" s="16" t="s">
        <v>326</v>
      </c>
      <c r="C20" s="16" t="s">
        <v>91</v>
      </c>
      <c r="D20" s="16" t="s">
        <v>289</v>
      </c>
      <c r="E20" s="16" t="s">
        <v>290</v>
      </c>
    </row>
    <row r="21" customFormat="false" ht="15" hidden="false" customHeight="true" outlineLevel="0" collapsed="false">
      <c r="A21" s="16" t="s">
        <v>327</v>
      </c>
      <c r="B21" s="16" t="s">
        <v>328</v>
      </c>
      <c r="C21" s="16" t="s">
        <v>91</v>
      </c>
      <c r="D21" s="16" t="s">
        <v>289</v>
      </c>
      <c r="E21" s="16" t="s">
        <v>290</v>
      </c>
    </row>
    <row r="22" customFormat="false" ht="15" hidden="false" customHeight="true" outlineLevel="0" collapsed="false">
      <c r="A22" s="17" t="s">
        <v>329</v>
      </c>
      <c r="B22" s="17" t="s">
        <v>330</v>
      </c>
      <c r="C22" s="17" t="s">
        <v>94</v>
      </c>
      <c r="D22" s="17" t="s">
        <v>289</v>
      </c>
      <c r="E22" s="17" t="s">
        <v>290</v>
      </c>
    </row>
    <row r="23" customFormat="false" ht="15" hidden="false" customHeight="true" outlineLevel="0" collapsed="false">
      <c r="A23" s="17" t="s">
        <v>331</v>
      </c>
      <c r="B23" s="17" t="s">
        <v>332</v>
      </c>
      <c r="C23" s="17" t="s">
        <v>94</v>
      </c>
      <c r="D23" s="17" t="s">
        <v>289</v>
      </c>
      <c r="E23" s="17" t="s">
        <v>290</v>
      </c>
    </row>
    <row r="24" customFormat="false" ht="15" hidden="false" customHeight="true" outlineLevel="0" collapsed="false">
      <c r="A24" s="17" t="s">
        <v>333</v>
      </c>
      <c r="B24" s="17" t="s">
        <v>334</v>
      </c>
      <c r="C24" s="17" t="s">
        <v>94</v>
      </c>
      <c r="D24" s="17" t="s">
        <v>289</v>
      </c>
      <c r="E24" s="17" t="s">
        <v>290</v>
      </c>
    </row>
    <row r="25" customFormat="false" ht="15" hidden="false" customHeight="true" outlineLevel="0" collapsed="false">
      <c r="A25" s="17" t="s">
        <v>335</v>
      </c>
      <c r="B25" s="17" t="s">
        <v>336</v>
      </c>
      <c r="C25" s="17" t="s">
        <v>94</v>
      </c>
      <c r="D25" s="17" t="s">
        <v>289</v>
      </c>
      <c r="E25" s="17" t="s">
        <v>290</v>
      </c>
    </row>
    <row r="26" customFormat="false" ht="15" hidden="false" customHeight="true" outlineLevel="0" collapsed="false">
      <c r="A26" s="17" t="s">
        <v>337</v>
      </c>
      <c r="B26" s="17" t="s">
        <v>338</v>
      </c>
      <c r="C26" s="17" t="s">
        <v>94</v>
      </c>
      <c r="D26" s="17" t="s">
        <v>289</v>
      </c>
      <c r="E26" s="17" t="s">
        <v>290</v>
      </c>
    </row>
    <row r="27" customFormat="false" ht="15" hidden="false" customHeight="true" outlineLevel="0" collapsed="false">
      <c r="A27" s="17" t="s">
        <v>339</v>
      </c>
      <c r="B27" s="17" t="s">
        <v>340</v>
      </c>
      <c r="C27" s="17" t="s">
        <v>94</v>
      </c>
      <c r="D27" s="17" t="s">
        <v>289</v>
      </c>
      <c r="E27" s="17" t="s">
        <v>290</v>
      </c>
    </row>
    <row r="29" customFormat="false" ht="15" hidden="false" customHeight="true" outlineLevel="0" collapsed="false">
      <c r="A29" s="18" t="s">
        <v>341</v>
      </c>
      <c r="B29" s="18" t="n">
        <f aca="false">COUNTA(B2:B27)</f>
        <v>26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6" min="5" style="1" width="62"/>
  </cols>
  <sheetData>
    <row r="1" customFormat="false" ht="24" hidden="false" customHeight="true" outlineLevel="0" collapsed="false">
      <c r="A1" s="2" t="s">
        <v>342</v>
      </c>
      <c r="B1" s="2" t="s">
        <v>343</v>
      </c>
      <c r="C1" s="2" t="s">
        <v>344</v>
      </c>
      <c r="D1" s="2" t="s">
        <v>345</v>
      </c>
      <c r="E1" s="2" t="s">
        <v>346</v>
      </c>
      <c r="F1" s="2" t="s">
        <v>347</v>
      </c>
    </row>
    <row r="2" customFormat="false" ht="57.75" hidden="false" customHeight="true" outlineLevel="0" collapsed="false">
      <c r="A2" s="19" t="n">
        <v>1</v>
      </c>
      <c r="B2" s="19" t="s">
        <v>218</v>
      </c>
      <c r="C2" s="19" t="s">
        <v>348</v>
      </c>
      <c r="D2" s="20" t="s">
        <v>349</v>
      </c>
      <c r="E2" s="19" t="s">
        <v>350</v>
      </c>
      <c r="F2" s="19" t="s">
        <v>351</v>
      </c>
    </row>
    <row r="3" customFormat="false" ht="57.75" hidden="false" customHeight="true" outlineLevel="0" collapsed="false">
      <c r="A3" s="19" t="n">
        <v>2</v>
      </c>
      <c r="B3" s="19" t="s">
        <v>352</v>
      </c>
      <c r="C3" s="19" t="s">
        <v>353</v>
      </c>
      <c r="D3" s="20" t="s">
        <v>349</v>
      </c>
      <c r="E3" s="19" t="s">
        <v>354</v>
      </c>
      <c r="F3" s="19" t="s">
        <v>355</v>
      </c>
    </row>
    <row r="4" customFormat="false" ht="57.75" hidden="false" customHeight="true" outlineLevel="0" collapsed="false">
      <c r="A4" s="21" t="n">
        <v>3</v>
      </c>
      <c r="B4" s="21" t="s">
        <v>356</v>
      </c>
      <c r="C4" s="21" t="s">
        <v>357</v>
      </c>
      <c r="D4" s="22" t="s">
        <v>358</v>
      </c>
      <c r="E4" s="21" t="s">
        <v>359</v>
      </c>
      <c r="F4" s="21" t="s">
        <v>360</v>
      </c>
    </row>
    <row r="5" customFormat="false" ht="57.75" hidden="false" customHeight="true" outlineLevel="0" collapsed="false">
      <c r="A5" s="21" t="n">
        <v>4</v>
      </c>
      <c r="B5" s="21" t="s">
        <v>361</v>
      </c>
      <c r="C5" s="21" t="s">
        <v>66</v>
      </c>
      <c r="D5" s="22" t="s">
        <v>358</v>
      </c>
      <c r="E5" s="21" t="s">
        <v>362</v>
      </c>
      <c r="F5" s="21" t="s">
        <v>363</v>
      </c>
    </row>
    <row r="6" customFormat="false" ht="57.75" hidden="false" customHeight="true" outlineLevel="0" collapsed="false">
      <c r="A6" s="21" t="n">
        <v>5</v>
      </c>
      <c r="B6" s="21" t="s">
        <v>280</v>
      </c>
      <c r="C6" s="21" t="s">
        <v>364</v>
      </c>
      <c r="D6" s="22" t="s">
        <v>358</v>
      </c>
      <c r="E6" s="21" t="s">
        <v>365</v>
      </c>
      <c r="F6" s="21" t="s">
        <v>366</v>
      </c>
    </row>
    <row r="7" customFormat="false" ht="57.75" hidden="false" customHeight="true" outlineLevel="0" collapsed="false">
      <c r="A7" s="21" t="n">
        <v>6</v>
      </c>
      <c r="B7" s="21" t="s">
        <v>367</v>
      </c>
      <c r="C7" s="21" t="s">
        <v>13</v>
      </c>
      <c r="D7" s="22" t="s">
        <v>358</v>
      </c>
      <c r="E7" s="21" t="s">
        <v>368</v>
      </c>
      <c r="F7" s="21" t="s">
        <v>369</v>
      </c>
    </row>
    <row r="8" customFormat="false" ht="57.75" hidden="false" customHeight="true" outlineLevel="0" collapsed="false">
      <c r="A8" s="21" t="n">
        <v>7</v>
      </c>
      <c r="B8" s="21" t="s">
        <v>370</v>
      </c>
      <c r="C8" s="21" t="s">
        <v>13</v>
      </c>
      <c r="D8" s="22" t="s">
        <v>358</v>
      </c>
      <c r="E8" s="21" t="s">
        <v>371</v>
      </c>
      <c r="F8" s="21" t="s">
        <v>372</v>
      </c>
    </row>
    <row r="9" customFormat="false" ht="57.75" hidden="false" customHeight="true" outlineLevel="0" collapsed="false">
      <c r="A9" s="19" t="n">
        <v>8</v>
      </c>
      <c r="B9" s="19" t="s">
        <v>373</v>
      </c>
      <c r="C9" s="19" t="s">
        <v>374</v>
      </c>
      <c r="D9" s="20" t="s">
        <v>349</v>
      </c>
      <c r="E9" s="19" t="s">
        <v>375</v>
      </c>
      <c r="F9" s="19" t="s">
        <v>376</v>
      </c>
    </row>
    <row r="10" customFormat="false" ht="57.75" hidden="false" customHeight="true" outlineLevel="0" collapsed="false">
      <c r="A10" s="23" t="n">
        <v>9</v>
      </c>
      <c r="B10" s="23" t="s">
        <v>377</v>
      </c>
      <c r="C10" s="23" t="s">
        <v>378</v>
      </c>
      <c r="D10" s="24" t="s">
        <v>358</v>
      </c>
      <c r="E10" s="23" t="s">
        <v>379</v>
      </c>
      <c r="F10" s="23" t="s">
        <v>380</v>
      </c>
    </row>
    <row r="11" customFormat="false" ht="57.75" hidden="false" customHeight="true" outlineLevel="0" collapsed="false">
      <c r="A11" s="21" t="n">
        <v>10</v>
      </c>
      <c r="B11" s="21" t="s">
        <v>381</v>
      </c>
      <c r="C11" s="21" t="s">
        <v>348</v>
      </c>
      <c r="D11" s="22" t="s">
        <v>358</v>
      </c>
      <c r="E11" s="21" t="s">
        <v>382</v>
      </c>
      <c r="F11" s="21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78"/>
  </cols>
  <sheetData>
    <row r="1" customFormat="false" ht="15" hidden="false" customHeight="true" outlineLevel="0" collapsed="false">
      <c r="A1" s="25" t="s">
        <v>384</v>
      </c>
    </row>
    <row r="3" customFormat="false" ht="19.5" hidden="false" customHeight="true" outlineLevel="0" collapsed="false">
      <c r="A3" s="3" t="s">
        <v>385</v>
      </c>
      <c r="B3" s="26" t="s">
        <v>386</v>
      </c>
    </row>
    <row r="4" customFormat="false" ht="19.5" hidden="false" customHeight="true" outlineLevel="0" collapsed="false">
      <c r="A4" s="27" t="s">
        <v>387</v>
      </c>
      <c r="B4" s="26" t="s">
        <v>388</v>
      </c>
    </row>
    <row r="5" customFormat="false" ht="19.5" hidden="false" customHeight="true" outlineLevel="0" collapsed="false">
      <c r="A5" s="28" t="s">
        <v>389</v>
      </c>
      <c r="B5" s="26" t="s">
        <v>390</v>
      </c>
    </row>
    <row r="6" customFormat="false" ht="19.5" hidden="false" customHeight="true" outlineLevel="0" collapsed="false">
      <c r="A6" s="29" t="s">
        <v>391</v>
      </c>
      <c r="B6" s="26" t="s">
        <v>392</v>
      </c>
    </row>
    <row r="7" customFormat="false" ht="19.5" hidden="false" customHeight="true" outlineLevel="0" collapsed="false">
      <c r="A7" s="8" t="s">
        <v>37</v>
      </c>
      <c r="B7" s="26" t="s">
        <v>393</v>
      </c>
    </row>
    <row r="8" customFormat="false" ht="19.5" hidden="false" customHeight="true" outlineLevel="0" collapsed="false">
      <c r="A8" s="30" t="s">
        <v>394</v>
      </c>
      <c r="B8" s="26" t="s">
        <v>395</v>
      </c>
    </row>
    <row r="9" customFormat="false" ht="19.5" hidden="false" customHeight="true" outlineLevel="0" collapsed="false">
      <c r="A9" s="31" t="s">
        <v>396</v>
      </c>
      <c r="B9" s="26" t="s">
        <v>397</v>
      </c>
    </row>
    <row r="11" customFormat="false" ht="15" hidden="false" customHeight="true" outlineLevel="0" collapsed="false">
      <c r="A11" s="25" t="s">
        <v>398</v>
      </c>
    </row>
    <row r="13" customFormat="false" ht="19.5" hidden="false" customHeight="true" outlineLevel="0" collapsed="false">
      <c r="A13" s="32" t="s">
        <v>87</v>
      </c>
      <c r="B13" s="26" t="s">
        <v>399</v>
      </c>
    </row>
    <row r="14" customFormat="false" ht="19.5" hidden="false" customHeight="true" outlineLevel="0" collapsed="false">
      <c r="A14" s="33" t="s">
        <v>91</v>
      </c>
      <c r="B14" s="26" t="s">
        <v>400</v>
      </c>
    </row>
    <row r="15" customFormat="false" ht="19.5" hidden="false" customHeight="true" outlineLevel="0" collapsed="false">
      <c r="A15" s="34" t="s">
        <v>94</v>
      </c>
      <c r="B15" s="26" t="s">
        <v>401</v>
      </c>
    </row>
    <row r="17" customFormat="false" ht="15" hidden="false" customHeight="true" outlineLevel="0" collapsed="false">
      <c r="A17" s="25" t="s">
        <v>402</v>
      </c>
    </row>
    <row r="18" customFormat="false" ht="15" hidden="false" customHeight="true" outlineLevel="0" collapsed="false">
      <c r="A18" s="35" t="s">
        <v>403</v>
      </c>
      <c r="B18" s="36" t="s">
        <v>404</v>
      </c>
    </row>
    <row r="19" customFormat="false" ht="15" hidden="false" customHeight="true" outlineLevel="0" collapsed="false">
      <c r="A19" s="35" t="s">
        <v>405</v>
      </c>
      <c r="B19" s="36" t="s">
        <v>348</v>
      </c>
    </row>
    <row r="20" customFormat="false" ht="15" hidden="false" customHeight="true" outlineLevel="0" collapsed="false">
      <c r="A20" s="35" t="s">
        <v>406</v>
      </c>
      <c r="B20" s="36" t="n">
        <f aca="false">COUNTA('Area Pages'!B2:B27)</f>
        <v>26</v>
      </c>
    </row>
    <row r="21" customFormat="false" ht="15" hidden="false" customHeight="true" outlineLevel="0" collapsed="false">
      <c r="A21" s="35" t="s">
        <v>407</v>
      </c>
      <c r="B21" s="36" t="n">
        <f aca="false">57+15+COUNTA('Area Pages'!B2:B27)</f>
        <v>98</v>
      </c>
    </row>
    <row r="22" customFormat="false" ht="15" hidden="false" customHeight="true" outlineLevel="0" collapsed="false">
      <c r="A22" s="35" t="s">
        <v>408</v>
      </c>
      <c r="B22" s="36" t="s">
        <v>409</v>
      </c>
    </row>
    <row r="23" customFormat="false" ht="15" hidden="false" customHeight="true" outlineLevel="0" collapsed="false">
      <c r="A23" s="35" t="s">
        <v>410</v>
      </c>
      <c r="B23" s="36" t="n">
        <f aca="false">218-(57+15+COUNTA('Area Pages'!B2:B27))</f>
        <v>120</v>
      </c>
    </row>
    <row r="25" customFormat="false" ht="15" hidden="false" customHeight="true" outlineLevel="0" collapsed="false">
      <c r="A25" s="37" t="s">
        <v>411</v>
      </c>
    </row>
    <row r="26" customFormat="false" ht="15" hidden="false" customHeight="true" outlineLevel="0" collapsed="false">
      <c r="A26" s="37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2026-07-21T04:16:04Z</dcterms:created>
  <dc:creator>openpyxl</dc:creator>
  <dc:description/>
  <dc:language>en-US</dc:language>
  <cp:lastModifiedBy/>
  <dcterms:modified xsi:type="dcterms:W3CDTF">2026-07-21T04:16:23Z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